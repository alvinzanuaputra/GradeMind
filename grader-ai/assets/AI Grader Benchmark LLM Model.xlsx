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LM Model" sheetId="1" r:id="rId4"/>
    <sheet state="visible" name="Similarity Model" sheetId="2" r:id="rId5"/>
    <sheet state="visible" name="Copy of LLM Model" sheetId="3" r:id="rId6"/>
    <sheet state="visible" name="Copy of Similarity Model" sheetId="4" r:id="rId7"/>
  </sheets>
  <definedNames/>
  <calcPr/>
</workbook>
</file>

<file path=xl/sharedStrings.xml><?xml version="1.0" encoding="utf-8"?>
<sst xmlns="http://schemas.openxmlformats.org/spreadsheetml/2006/main" count="480" uniqueCount="203">
  <si>
    <t>Model LLM</t>
  </si>
  <si>
    <t>Developer</t>
  </si>
  <si>
    <t>Size</t>
  </si>
  <si>
    <t>Test Case 1 
(Ground Truth = 95)</t>
  </si>
  <si>
    <t>Test Case 2
(Ground Truth = 80)</t>
  </si>
  <si>
    <t>Test Case 3
(Ground Truth = 60)</t>
  </si>
  <si>
    <t>Test Case 4
(Ground Truth = 90)</t>
  </si>
  <si>
    <t>Test Case 5
(Ground Truth = 50)</t>
  </si>
  <si>
    <t>Test Case 6
(Ground Truth = 40)</t>
  </si>
  <si>
    <t>Rata-Rata Error</t>
  </si>
  <si>
    <t>Rata-Rata Inference TIme (ms)</t>
  </si>
  <si>
    <t>Skor</t>
  </si>
  <si>
    <t>Error</t>
  </si>
  <si>
    <t>Inference Time (s)</t>
  </si>
  <si>
    <t>Llama 3 8B</t>
  </si>
  <si>
    <t>Meta</t>
  </si>
  <si>
    <t>4,7 GB</t>
  </si>
  <si>
    <t>Qwen 2,5 7B (Instruct)</t>
  </si>
  <si>
    <t>Alibaba</t>
  </si>
  <si>
    <t>Gemma 7B</t>
  </si>
  <si>
    <t>Google</t>
  </si>
  <si>
    <t>5,0 GB</t>
  </si>
  <si>
    <t>Mistral 7B (Instruct)</t>
  </si>
  <si>
    <t>Mistral AI</t>
  </si>
  <si>
    <t>4,4 GB</t>
  </si>
  <si>
    <t>Phi-3 Mini (3,8B)</t>
  </si>
  <si>
    <t>Microsoft</t>
  </si>
  <si>
    <t>2,2 GB</t>
  </si>
  <si>
    <t>Qwen2.5 3B</t>
  </si>
  <si>
    <t>1,9 GB</t>
  </si>
  <si>
    <t>winner</t>
  </si>
  <si>
    <t>Llama3.2:3b</t>
  </si>
  <si>
    <t>2,0 GB</t>
  </si>
  <si>
    <t>Gemma 2B</t>
  </si>
  <si>
    <t>1,7 GB</t>
  </si>
  <si>
    <t>Model Similarity</t>
  </si>
  <si>
    <t>GPU Memory (MB)</t>
  </si>
  <si>
    <t>Inference Time (ms)</t>
  </si>
  <si>
    <t>bert-base-multilingual-cased</t>
  </si>
  <si>
    <t>710 MB</t>
  </si>
  <si>
    <t>all-mpnet-base-v2</t>
  </si>
  <si>
    <t>Hugging Face</t>
  </si>
  <si>
    <t>450 MB</t>
  </si>
  <si>
    <t>LaBSE</t>
  </si>
  <si>
    <t>E5-small-v2</t>
  </si>
  <si>
    <t>Infloat</t>
  </si>
  <si>
    <t>500 MB</t>
  </si>
  <si>
    <t>E5-base-v2</t>
  </si>
  <si>
    <t>1,1 GB</t>
  </si>
  <si>
    <t>MiniLM</t>
  </si>
  <si>
    <t>80 MB</t>
  </si>
  <si>
    <t>Inference Time</t>
  </si>
  <si>
    <t>Llama3,2:1b</t>
  </si>
  <si>
    <t>1,3 GB</t>
  </si>
  <si>
    <t>#</t>
  </si>
  <si>
    <t>Model</t>
  </si>
  <si>
    <t>Ukuran Model (disk)</t>
  </si>
  <si>
    <t>RAM Runtime (≈)</t>
  </si>
  <si>
    <t>CPU Load</t>
  </si>
  <si>
    <t>GPU VRAM (≈)</t>
  </si>
  <si>
    <t>Kecepatan (100 pair/s)</t>
  </si>
  <si>
    <t>Akurasi Relatif 🧠</t>
  </si>
  <si>
    <t>Catatan</t>
  </si>
  <si>
    <t>BERTScore (bert-base-uncased)</t>
  </si>
  <si>
    <t>420 MB</t>
  </si>
  <si>
    <t>1.5 GB</t>
  </si>
  <si>
    <t>🟡 sedang</t>
  </si>
  <si>
    <t>🟠 ~8 s</t>
  </si>
  <si>
    <t>Standar klasik; lambat tapi stabil. Cocok untuk baseline akademik.</t>
  </si>
  <si>
    <t>RoBERTa-base (BERTScore)</t>
  </si>
  <si>
    <t>480 MB</t>
  </si>
  <si>
    <t>1.8 GB</t>
  </si>
  <si>
    <t>🟠 ~9 s</t>
  </si>
  <si>
    <t>Sedikit lebih akurat dari BERT, umum di paper NLP.</t>
  </si>
  <si>
    <t>Sentence-BERT (all-mpnet-base-v2)</t>
  </si>
  <si>
    <t>UKP Lab</t>
  </si>
  <si>
    <t>1.2 GB</t>
  </si>
  <si>
    <t>🟢 ringan</t>
  </si>
  <si>
    <t>🟢 ~1.5 s</t>
  </si>
  <si>
    <t>88–90%</t>
  </si>
  <si>
    <t>Akurasi tinggi, sangat populer untuk semantic similarity.</t>
  </si>
  <si>
    <t>MiniLM (all-MiniLM-L6-v2)</t>
  </si>
  <si>
    <t>400 MB</t>
  </si>
  <si>
    <t>🟢🟢 ~0.8 s</t>
  </si>
  <si>
    <t>86–88%</t>
  </si>
  <si>
    <t>Best trade-off untuk laptop tanpa GPU.</t>
  </si>
  <si>
    <t>DeBERTa-v3-base</t>
  </si>
  <si>
    <t>550 MB</t>
  </si>
  <si>
    <t>2 GB</t>
  </si>
  <si>
    <t>🔴 berat</t>
  </si>
  <si>
    <t>2.5 GB</t>
  </si>
  <si>
    <t>🟠 ~10 s</t>
  </si>
  <si>
    <t>90–91%</t>
  </si>
  <si>
    <t>Paling akurat di kelas BERT-like, tapi boros RAM.</t>
  </si>
  <si>
    <t>140 MB</t>
  </si>
  <si>
    <t>600 MB</t>
  </si>
  <si>
    <t>🟢 ~1 s</t>
  </si>
  <si>
    <t>Cepat dan cocok untuk retrieval grading.</t>
  </si>
  <si>
    <t>E5-large-v2</t>
  </si>
  <si>
    <t>990 MB</t>
  </si>
  <si>
    <t>🟠 sedang</t>
  </si>
  <si>
    <t>3 GB</t>
  </si>
  <si>
    <t>🟠 ~3 s</t>
  </si>
  <si>
    <t>Kualitas setara DeBERTa, cocok untuk server GPU.</t>
  </si>
  <si>
    <t>SimCSE-roberta-base</t>
  </si>
  <si>
    <t>Princeton</t>
  </si>
  <si>
    <t>🟠 ~2 s</t>
  </si>
  <si>
    <t>Hasil stabil, tapi belum dioptimalkan untuk kecepatan.</t>
  </si>
  <si>
    <t>Instructor-large</t>
  </si>
  <si>
    <t>HKU NLP</t>
  </si>
  <si>
    <t>4 GB</t>
  </si>
  <si>
    <t>🔴 ~5 s</t>
  </si>
  <si>
    <t>92–93%</t>
  </si>
  <si>
    <t>Paling “canggih” untuk context-aware grading, tapi berat.</t>
  </si>
  <si>
    <t>LaBSE (multilingual)</t>
  </si>
  <si>
    <t>1.1 GB</t>
  </si>
  <si>
    <t>Multi-bahasa (bisa Indonesia-Inggris), bagus untuk campuran.</t>
  </si>
  <si>
    <t>Rank</t>
  </si>
  <si>
    <t>Ukuran (Param)</t>
  </si>
  <si>
    <t>Bahasa 🇮🇩</t>
  </si>
  <si>
    <t>Akurasi (SOTA≈)</t>
  </si>
  <si>
    <t>RAM Usage</t>
  </si>
  <si>
    <t>GPU VRAM</t>
  </si>
  <si>
    <t>Kecepatan (100 pasang kalimat)</t>
  </si>
  <si>
    <t>🥇 1</t>
  </si>
  <si>
    <t>~440M</t>
  </si>
  <si>
    <t>✅ Sangat bagus (multilingual)</t>
  </si>
  <si>
    <t>⭐⭐⭐⭐⭐ (SOTA untuk retrieval &amp; similarity)</t>
  </si>
  <si>
    <t>5–6 GB</t>
  </si>
  <si>
    <t>5 GB</t>
  </si>
  <si>
    <t>Sedang</t>
  </si>
  <si>
    <t>±1.5 s (GPU) / 6 s (CPU)</t>
  </si>
  <si>
    <t>Akurasi tinggi, bisa jalan stabil di RTX 4050, cocok untuk evaluasi teks dan semantic search</t>
  </si>
  <si>
    <t>🥈 2</t>
  </si>
  <si>
    <t>~420M</t>
  </si>
  <si>
    <t>⚠️ Cukup baik (Indo mirip Inggris)</t>
  </si>
  <si>
    <t>⭐⭐⭐⭐</t>
  </si>
  <si>
    <t>4–5 GB</t>
  </si>
  <si>
    <t>±1 s (GPU) / 4 s (CPU)</t>
  </si>
  <si>
    <t>Akurasi bagus di bahasa mirip Inggris; tetap cukup baik untuk bahasa Indo karena struktur serupa</t>
  </si>
  <si>
    <t>🥉 3</t>
  </si>
  <si>
    <t>LaBSE (Language-Agnostic BERT Sentence Embedding)</t>
  </si>
  <si>
    <t>~470M</t>
  </si>
  <si>
    <t>✅ Sangat bagus (100+ bahasa)</t>
  </si>
  <si>
    <t>Multilingual terbaik kalau teks campur Inggris–Indonesia</t>
  </si>
  <si>
    <t>4️⃣</t>
  </si>
  <si>
    <t>~110M</t>
  </si>
  <si>
    <t>✅ Bagus</t>
  </si>
  <si>
    <t>⭐⭐⭐½</t>
  </si>
  <si>
    <t>Ringan</t>
  </si>
  <si>
    <t>±0.5 s (GPU) / 2 s (CPU)</t>
  </si>
  <si>
    <t>Cocok buat real-time grading di laptop</t>
  </si>
  <si>
    <t>5️⃣</t>
  </si>
  <si>
    <t>~66M</t>
  </si>
  <si>
    <t>⚠️ Sedang</t>
  </si>
  <si>
    <t>⭐⭐⭐</t>
  </si>
  <si>
    <t>1 GB</t>
  </si>
  <si>
    <t>±0.3 s (GPU) / 1 s (CPU)</t>
  </si>
  <si>
    <t>Cepat sekali dan ringan; akurasi moderat</t>
  </si>
  <si>
    <t>6️⃣</t>
  </si>
  <si>
    <t>~370M</t>
  </si>
  <si>
    <t>3.5 GB</t>
  </si>
  <si>
    <t>±1.2 s (GPU) / 5 s (CPU)</t>
  </si>
  <si>
    <t>Perlu fine-tune untuk similarity</t>
  </si>
  <si>
    <t>7️⃣</t>
  </si>
  <si>
    <t>~350M</t>
  </si>
  <si>
    <t>Cenderung lebih baik untuk kalimat formal</t>
  </si>
  <si>
    <t>8️⃣</t>
  </si>
  <si>
    <t>~770M</t>
  </si>
  <si>
    <t>⭐⭐⭐⭐⭐</t>
  </si>
  <si>
    <t>8–9 GB</t>
  </si>
  <si>
    <t>7–8 GB</t>
  </si>
  <si>
    <t>Berat</t>
  </si>
  <si>
    <t>±2 s (GPU) / 9 s (CPU)</t>
  </si>
  <si>
    <t>Akurasi tinggi tapi terlalu berat untuk laptop</t>
  </si>
  <si>
    <t>9️⃣</t>
  </si>
  <si>
    <t>~125M</t>
  </si>
  <si>
    <t>±0.6 s (GPU) / 2.5 s (CPU)</t>
  </si>
  <si>
    <t>Cocok kalau pakai bertscore langsung</t>
  </si>
  <si>
    <t>🔟</t>
  </si>
  <si>
    <t>⚠️ Kurang untuk Bahasa Indo</t>
  </si>
  <si>
    <t>⭐⭐½</t>
  </si>
  <si>
    <t>±0.6 s (GPU) / 2 s (CPU)</t>
  </si>
  <si>
    <t>Basis model lama, paling basic</t>
  </si>
  <si>
    <t>Similarity</t>
  </si>
  <si>
    <t>Load Time (s)</t>
  </si>
  <si>
    <t>GPU Mem (MB)</t>
  </si>
  <si>
    <t>686.86</t>
  </si>
  <si>
    <t>1106.21</t>
  </si>
  <si>
    <t>2905.19</t>
  </si>
  <si>
    <t>1555.03</t>
  </si>
  <si>
    <t>2616.18</t>
  </si>
  <si>
    <t>2702.83</t>
  </si>
  <si>
    <t>Student</t>
  </si>
  <si>
    <t>Load Time (ms)</t>
  </si>
  <si>
    <t>Device</t>
  </si>
  <si>
    <t>Case 1</t>
  </si>
  <si>
    <t>cuda:0</t>
  </si>
  <si>
    <t>Case 2</t>
  </si>
  <si>
    <t>Case 3</t>
  </si>
  <si>
    <t>Case 4</t>
  </si>
  <si>
    <t>Case 5</t>
  </si>
  <si>
    <t>Case 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</si>
</sst>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00"/>
    <numFmt numFmtId="165" formatCode="0.0"/>
    <numFmt numFmtId="166" formatCode="yyyy.mm"/>
  </numFmts>
  <fonts count="6">
    <font>
      <sz val="10.0"/>
      <color rgb="FF000000"/>
      <name val="Arial"/>
      <scheme val="minor"/>
    </font>
    <font>
      <b/>
      <color rgb="FFFFFFFF"/>
      <name val="Poppins"/>
    </font>
    <font/>
    <font>
      <color theme="1"/>
      <name val="Poppins"/>
    </font>
    <font>
      <color theme="1"/>
      <name val="Arial"/>
      <scheme val="minor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F9900"/>
        <bgColor rgb="FFFF9900"/>
      </patternFill>
    </fill>
    <fill>
      <patternFill patternType="solid">
        <fgColor rgb="FF999999"/>
        <bgColor rgb="FF999999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3" fillId="0" fontId="2" numFmtId="0" xfId="0" applyBorder="1" applyFont="1"/>
    <xf borderId="4" fillId="0" fontId="2" numFmtId="0" xfId="0" applyBorder="1" applyFont="1"/>
    <xf borderId="0" fillId="0" fontId="3" numFmtId="0" xfId="0" applyAlignment="1" applyFont="1">
      <alignment shrinkToFit="0" vertical="center" wrapText="1"/>
    </xf>
    <xf borderId="5" fillId="0" fontId="2" numFmtId="0" xfId="0" applyBorder="1" applyFont="1"/>
    <xf borderId="6" fillId="2" fontId="1" numFmtId="0" xfId="0" applyAlignment="1" applyBorder="1" applyFont="1">
      <alignment horizontal="center" readingOrder="0" shrinkToFit="0" vertical="center" wrapText="1"/>
    </xf>
    <xf borderId="6" fillId="0" fontId="3" numFmtId="0" xfId="0" applyAlignment="1" applyBorder="1" applyFont="1">
      <alignment readingOrder="0" shrinkToFit="0" vertical="center" wrapText="1"/>
    </xf>
    <xf borderId="6" fillId="0" fontId="3" numFmtId="0" xfId="0" applyAlignment="1" applyBorder="1" applyFont="1">
      <alignment horizontal="center" readingOrder="0" shrinkToFit="0" vertical="center" wrapText="1"/>
    </xf>
    <xf borderId="6" fillId="0" fontId="3" numFmtId="164" xfId="0" applyAlignment="1" applyBorder="1" applyFont="1" applyNumberFormat="1">
      <alignment horizontal="center" readingOrder="0" vertical="center"/>
    </xf>
    <xf borderId="6" fillId="0" fontId="3" numFmtId="164" xfId="0" applyAlignment="1" applyBorder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6" fillId="0" fontId="3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readingOrder="0" shrinkToFit="0" vertical="center" wrapText="1"/>
    </xf>
    <xf borderId="6" fillId="0" fontId="3" numFmtId="0" xfId="0" applyAlignment="1" applyBorder="1" applyFont="1">
      <alignment readingOrder="0" vertical="center"/>
    </xf>
    <xf borderId="1" fillId="3" fontId="1" numFmtId="0" xfId="0" applyAlignment="1" applyBorder="1" applyFill="1" applyFont="1">
      <alignment horizontal="center" readingOrder="0" shrinkToFit="0" vertical="center" wrapText="1"/>
    </xf>
    <xf borderId="2" fillId="3" fontId="1" numFmtId="0" xfId="0" applyAlignment="1" applyBorder="1" applyFont="1">
      <alignment horizontal="center" readingOrder="0" shrinkToFit="0" vertical="center" wrapText="1"/>
    </xf>
    <xf borderId="6" fillId="3" fontId="1" numFmtId="0" xfId="0" applyAlignment="1" applyBorder="1" applyFont="1">
      <alignment horizontal="center" readingOrder="0" shrinkToFit="0" vertical="center" wrapText="1"/>
    </xf>
    <xf borderId="6" fillId="0" fontId="3" numFmtId="10" xfId="0" applyAlignment="1" applyBorder="1" applyFont="1" applyNumberFormat="1">
      <alignment horizontal="center" readingOrder="0" shrinkToFit="0" vertical="center" wrapText="1"/>
    </xf>
    <xf borderId="6" fillId="0" fontId="3" numFmtId="165" xfId="0" applyAlignment="1" applyBorder="1" applyFont="1" applyNumberFormat="1">
      <alignment horizontal="center" readingOrder="0" shrinkToFit="0" vertical="center" wrapText="1"/>
    </xf>
    <xf borderId="6" fillId="0" fontId="3" numFmtId="10" xfId="0" applyAlignment="1" applyBorder="1" applyFont="1" applyNumberFormat="1">
      <alignment horizontal="center" readingOrder="0" vertical="center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vertical="center"/>
    </xf>
    <xf borderId="0" fillId="0" fontId="3" numFmtId="164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0" fillId="0" fontId="4" numFmtId="10" xfId="0" applyAlignment="1" applyFont="1" applyNumberFormat="1">
      <alignment readingOrder="0"/>
    </xf>
    <xf borderId="0" fillId="0" fontId="3" numFmtId="10" xfId="0" applyAlignment="1" applyFont="1" applyNumberFormat="1">
      <alignment readingOrder="0" shrinkToFit="0" vertical="center" wrapText="1"/>
    </xf>
    <xf borderId="0" fillId="4" fontId="1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vertical="center"/>
    </xf>
    <xf borderId="0" fillId="0" fontId="3" numFmtId="164" xfId="0" applyAlignment="1" applyFont="1" applyNumberFormat="1">
      <alignment horizontal="center" readingOrder="0" shrinkToFit="0" vertical="center" wrapText="1"/>
    </xf>
    <xf borderId="0" fillId="0" fontId="4" numFmtId="0" xfId="0" applyAlignment="1" applyFont="1">
      <alignment readingOrder="0"/>
    </xf>
    <xf borderId="0" fillId="0" fontId="4" numFmtId="9" xfId="0" applyAlignment="1" applyFont="1" applyNumberFormat="1">
      <alignment readingOrder="0"/>
    </xf>
    <xf borderId="0" fillId="0" fontId="5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left" readingOrder="0"/>
    </xf>
    <xf borderId="0" fillId="0" fontId="4" numFmtId="3" xfId="0" applyAlignment="1" applyFont="1" applyNumberFormat="1">
      <alignment horizontal="center" readingOrder="0"/>
    </xf>
    <xf borderId="0" fillId="0" fontId="4" numFmtId="166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0.88"/>
    <col customWidth="1" min="4" max="21" width="10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/>
      <c r="F1" s="4"/>
      <c r="G1" s="2" t="s">
        <v>4</v>
      </c>
      <c r="H1" s="3"/>
      <c r="I1" s="4"/>
      <c r="J1" s="2" t="s">
        <v>5</v>
      </c>
      <c r="K1" s="3"/>
      <c r="L1" s="4"/>
      <c r="M1" s="2" t="s">
        <v>6</v>
      </c>
      <c r="N1" s="3"/>
      <c r="O1" s="4"/>
      <c r="P1" s="2" t="s">
        <v>7</v>
      </c>
      <c r="Q1" s="3"/>
      <c r="R1" s="4"/>
      <c r="S1" s="2" t="s">
        <v>8</v>
      </c>
      <c r="T1" s="3"/>
      <c r="U1" s="4"/>
      <c r="V1" s="1" t="s">
        <v>9</v>
      </c>
      <c r="W1" s="1" t="s">
        <v>10</v>
      </c>
      <c r="X1" s="5"/>
      <c r="Y1" s="5"/>
      <c r="Z1" s="5"/>
      <c r="AA1" s="5"/>
      <c r="AB1" s="5"/>
      <c r="AC1" s="5"/>
      <c r="AD1" s="5"/>
      <c r="AE1" s="5"/>
      <c r="AF1" s="5"/>
      <c r="AG1" s="5"/>
      <c r="AH1" s="5"/>
    </row>
    <row r="2">
      <c r="A2" s="6"/>
      <c r="B2" s="6"/>
      <c r="C2" s="6"/>
      <c r="D2" s="7" t="s">
        <v>11</v>
      </c>
      <c r="E2" s="7" t="s">
        <v>12</v>
      </c>
      <c r="F2" s="7" t="s">
        <v>13</v>
      </c>
      <c r="G2" s="7" t="s">
        <v>11</v>
      </c>
      <c r="H2" s="7" t="s">
        <v>12</v>
      </c>
      <c r="I2" s="7" t="s">
        <v>13</v>
      </c>
      <c r="J2" s="7" t="s">
        <v>11</v>
      </c>
      <c r="K2" s="7" t="s">
        <v>12</v>
      </c>
      <c r="L2" s="7" t="s">
        <v>13</v>
      </c>
      <c r="M2" s="7" t="s">
        <v>11</v>
      </c>
      <c r="N2" s="7" t="s">
        <v>12</v>
      </c>
      <c r="O2" s="7" t="s">
        <v>13</v>
      </c>
      <c r="P2" s="7" t="s">
        <v>11</v>
      </c>
      <c r="Q2" s="7" t="s">
        <v>12</v>
      </c>
      <c r="R2" s="7" t="s">
        <v>13</v>
      </c>
      <c r="S2" s="7" t="s">
        <v>11</v>
      </c>
      <c r="T2" s="7" t="s">
        <v>12</v>
      </c>
      <c r="U2" s="7" t="s">
        <v>13</v>
      </c>
      <c r="V2" s="6"/>
      <c r="W2" s="6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</row>
    <row r="3" ht="33.75" customHeight="1">
      <c r="A3" s="8" t="s">
        <v>14</v>
      </c>
      <c r="B3" s="8" t="s">
        <v>15</v>
      </c>
      <c r="C3" s="8" t="s">
        <v>16</v>
      </c>
      <c r="D3" s="9">
        <v>87.75</v>
      </c>
      <c r="E3" s="10">
        <f>IFERROR(__xludf.DUMMYFUNCTION("ABS(VALUE(REGEXEXTRACT(D$1, ""Ground Truth = (\d+)""))-D3)"),7.25)</f>
        <v>7.25</v>
      </c>
      <c r="F3" s="11">
        <v>4.785</v>
      </c>
      <c r="G3" s="9">
        <v>84.25</v>
      </c>
      <c r="H3" s="10">
        <f>IFERROR(__xludf.DUMMYFUNCTION("ABS(VALUE(REGEXEXTRACT(G$1, ""Ground Truth = (\d+)""))-G3)"),4.25)</f>
        <v>4.25</v>
      </c>
      <c r="I3" s="11">
        <v>4.283</v>
      </c>
      <c r="J3" s="9">
        <v>23.5</v>
      </c>
      <c r="K3" s="10">
        <f>IFERROR(__xludf.DUMMYFUNCTION("ABS(VALUE(REGEXEXTRACT(J$1, ""Ground Truth = (\d+)""))-J3)"),36.5)</f>
        <v>36.5</v>
      </c>
      <c r="L3" s="9">
        <v>4.379</v>
      </c>
      <c r="M3" s="9">
        <v>87.75</v>
      </c>
      <c r="N3" s="10">
        <f>IFERROR(__xludf.DUMMYFUNCTION("ABS(VALUE(REGEXEXTRACT(M$1, ""Ground Truth = (\d+)""))-M3)"),2.25)</f>
        <v>2.25</v>
      </c>
      <c r="O3" s="9">
        <v>4.199</v>
      </c>
      <c r="P3" s="9">
        <v>28.5</v>
      </c>
      <c r="Q3" s="10">
        <f>IFERROR(__xludf.DUMMYFUNCTION("ABS(VALUE(REGEXEXTRACT(P$1, ""Ground Truth = (\d+)""))-P3)"),21.5)</f>
        <v>21.5</v>
      </c>
      <c r="R3" s="9">
        <v>4.199</v>
      </c>
      <c r="S3" s="9">
        <v>25.5</v>
      </c>
      <c r="T3" s="10">
        <f>IFERROR(__xludf.DUMMYFUNCTION("ABS(VALUE(REGEXEXTRACT(S$1, ""Ground Truth = (\d+)""))-S3)"),14.5)</f>
        <v>14.5</v>
      </c>
      <c r="U3" s="9">
        <v>4.179</v>
      </c>
      <c r="V3" s="11">
        <f t="shared" ref="V3:W3" si="1">AVERAGE(E3,H3,K3,N3,Q3,T3)</f>
        <v>14.375</v>
      </c>
      <c r="W3" s="11">
        <f t="shared" si="1"/>
        <v>4.337333333</v>
      </c>
      <c r="X3" s="12"/>
      <c r="Y3" s="12"/>
      <c r="Z3" s="12"/>
      <c r="AA3" s="5"/>
      <c r="AB3" s="5"/>
      <c r="AC3" s="5"/>
      <c r="AD3" s="5"/>
      <c r="AE3" s="5"/>
      <c r="AF3" s="5"/>
      <c r="AG3" s="5"/>
      <c r="AH3" s="5"/>
    </row>
    <row r="4" ht="33.75" customHeight="1">
      <c r="A4" s="8" t="s">
        <v>17</v>
      </c>
      <c r="B4" s="8" t="s">
        <v>18</v>
      </c>
      <c r="C4" s="8" t="s">
        <v>16</v>
      </c>
      <c r="D4" s="9">
        <v>87.75</v>
      </c>
      <c r="E4" s="10">
        <f>IFERROR(__xludf.DUMMYFUNCTION("ABS(VALUE(REGEXEXTRACT(D$1, ""Ground Truth = (\d+)""))-D4)"),7.25)</f>
        <v>7.25</v>
      </c>
      <c r="F4" s="9">
        <v>5.08</v>
      </c>
      <c r="G4" s="9">
        <v>84.5</v>
      </c>
      <c r="H4" s="10">
        <f>IFERROR(__xludf.DUMMYFUNCTION("ABS(VALUE(REGEXEXTRACT(G$1, ""Ground Truth = (\d+)""))-G4)"),4.5)</f>
        <v>4.5</v>
      </c>
      <c r="I4" s="9">
        <v>5.672</v>
      </c>
      <c r="J4" s="9">
        <v>29.4</v>
      </c>
      <c r="K4" s="10">
        <f>IFERROR(__xludf.DUMMYFUNCTION("ABS(VALUE(REGEXEXTRACT(J$1, ""Ground Truth = (\d+)""))-J4)"),30.6)</f>
        <v>30.6</v>
      </c>
      <c r="L4" s="9">
        <v>5.511</v>
      </c>
      <c r="M4" s="9">
        <v>84.75</v>
      </c>
      <c r="N4" s="10">
        <f>IFERROR(__xludf.DUMMYFUNCTION("ABS(VALUE(REGEXEXTRACT(M$1, ""Ground Truth = (\d+)""))-M4)"),5.25)</f>
        <v>5.25</v>
      </c>
      <c r="O4" s="9">
        <v>4.899</v>
      </c>
      <c r="P4" s="9">
        <v>60.3</v>
      </c>
      <c r="Q4" s="10">
        <f>IFERROR(__xludf.DUMMYFUNCTION("ABS(VALUE(REGEXEXTRACT(P$1, ""Ground Truth = (\d+)""))-P4)"),10.299999999999997)</f>
        <v>10.3</v>
      </c>
      <c r="R4" s="9">
        <v>5.92</v>
      </c>
      <c r="S4" s="9">
        <v>50.0</v>
      </c>
      <c r="T4" s="10">
        <f>IFERROR(__xludf.DUMMYFUNCTION("ABS(VALUE(REGEXEXTRACT(S$1, ""Ground Truth = (\d+)""))-S4)"),10.0)</f>
        <v>10</v>
      </c>
      <c r="U4" s="9">
        <v>5.416</v>
      </c>
      <c r="V4" s="11">
        <f t="shared" ref="V4:W4" si="2">AVERAGE(E4,H4,K4,N4,Q4,T4)</f>
        <v>11.31666667</v>
      </c>
      <c r="W4" s="9">
        <f t="shared" si="2"/>
        <v>5.416333333</v>
      </c>
      <c r="X4" s="12"/>
      <c r="Y4" s="12"/>
      <c r="Z4" s="12"/>
      <c r="AA4" s="5"/>
      <c r="AB4" s="5"/>
      <c r="AC4" s="5"/>
      <c r="AD4" s="5"/>
      <c r="AE4" s="5"/>
      <c r="AF4" s="5"/>
      <c r="AG4" s="5"/>
      <c r="AH4" s="5"/>
    </row>
    <row r="5" ht="33.75" customHeight="1">
      <c r="A5" s="8" t="s">
        <v>19</v>
      </c>
      <c r="B5" s="8" t="s">
        <v>20</v>
      </c>
      <c r="C5" s="8" t="s">
        <v>21</v>
      </c>
      <c r="D5" s="9">
        <v>91.25</v>
      </c>
      <c r="E5" s="10">
        <f>IFERROR(__xludf.DUMMYFUNCTION("ABS(VALUE(REGEXEXTRACT(D$1, ""Ground Truth = (\d+)""))-D5)"),3.75)</f>
        <v>3.75</v>
      </c>
      <c r="F5" s="9">
        <v>15.217</v>
      </c>
      <c r="G5" s="9">
        <v>89.5</v>
      </c>
      <c r="H5" s="10">
        <f>IFERROR(__xludf.DUMMYFUNCTION("ABS(VALUE(REGEXEXTRACT(G$1, ""Ground Truth = (\d+)""))-G5)"),9.5)</f>
        <v>9.5</v>
      </c>
      <c r="I5" s="9">
        <v>15.712</v>
      </c>
      <c r="J5" s="9">
        <v>33.3</v>
      </c>
      <c r="K5" s="10">
        <f>IFERROR(__xludf.DUMMYFUNCTION("ABS(VALUE(REGEXEXTRACT(J$1, ""Ground Truth = (\d+)""))-J5)"),26.700000000000003)</f>
        <v>26.7</v>
      </c>
      <c r="L5" s="9">
        <v>16.961</v>
      </c>
      <c r="M5" s="9">
        <v>95.0</v>
      </c>
      <c r="N5" s="10">
        <f>IFERROR(__xludf.DUMMYFUNCTION("ABS(VALUE(REGEXEXTRACT(M$1, ""Ground Truth = (\d+)""))-M5)"),5.0)</f>
        <v>5</v>
      </c>
      <c r="O5" s="9">
        <v>17.214</v>
      </c>
      <c r="P5" s="9">
        <v>52.75</v>
      </c>
      <c r="Q5" s="10">
        <f>IFERROR(__xludf.DUMMYFUNCTION("ABS(VALUE(REGEXEXTRACT(P$1, ""Ground Truth = (\d+)""))-P5)"),2.75)</f>
        <v>2.75</v>
      </c>
      <c r="R5" s="9">
        <v>16.224</v>
      </c>
      <c r="S5" s="9">
        <v>68.8</v>
      </c>
      <c r="T5" s="10">
        <f>IFERROR(__xludf.DUMMYFUNCTION("ABS(VALUE(REGEXEXTRACT(S$1, ""Ground Truth = (\d+)""))-S5)"),28.799999999999997)</f>
        <v>28.8</v>
      </c>
      <c r="U5" s="9">
        <v>17.682</v>
      </c>
      <c r="V5" s="11">
        <f t="shared" ref="V5:W5" si="3">AVERAGE(E5,H5,K5,N5,Q5,T5)</f>
        <v>12.75</v>
      </c>
      <c r="W5" s="9">
        <f t="shared" si="3"/>
        <v>16.50166667</v>
      </c>
      <c r="X5" s="12"/>
      <c r="Y5" s="12"/>
      <c r="Z5" s="12"/>
      <c r="AA5" s="5"/>
      <c r="AB5" s="5"/>
      <c r="AC5" s="5"/>
      <c r="AD5" s="5"/>
      <c r="AE5" s="5"/>
      <c r="AF5" s="5"/>
      <c r="AG5" s="5"/>
      <c r="AH5" s="5"/>
    </row>
    <row r="6" ht="33.75" customHeight="1">
      <c r="A6" s="8" t="s">
        <v>22</v>
      </c>
      <c r="B6" s="8" t="s">
        <v>23</v>
      </c>
      <c r="C6" s="8" t="s">
        <v>24</v>
      </c>
      <c r="D6" s="13">
        <v>96.0</v>
      </c>
      <c r="E6" s="10">
        <f>IFERROR(__xludf.DUMMYFUNCTION("ABS(VALUE(REGEXEXTRACT(D$1, ""Ground Truth = (\d+)""))-D6)"),1.0)</f>
        <v>1</v>
      </c>
      <c r="F6" s="11">
        <v>4.613</v>
      </c>
      <c r="G6" s="9">
        <v>74.25</v>
      </c>
      <c r="H6" s="10">
        <f>IFERROR(__xludf.DUMMYFUNCTION("ABS(VALUE(REGEXEXTRACT(G$1, ""Ground Truth = (\d+)""))-G6)"),5.75)</f>
        <v>5.75</v>
      </c>
      <c r="I6" s="11">
        <v>3.955</v>
      </c>
      <c r="J6" s="9">
        <v>38.0</v>
      </c>
      <c r="K6" s="10">
        <f>IFERROR(__xludf.DUMMYFUNCTION("ABS(VALUE(REGEXEXTRACT(J$1, ""Ground Truth = (\d+)""))-J6)"),22.0)</f>
        <v>22</v>
      </c>
      <c r="L6" s="11">
        <v>4.592</v>
      </c>
      <c r="M6" s="9">
        <v>92.5</v>
      </c>
      <c r="N6" s="10">
        <f>IFERROR(__xludf.DUMMYFUNCTION("ABS(VALUE(REGEXEXTRACT(M$1, ""Ground Truth = (\d+)""))-M6)"),2.5)</f>
        <v>2.5</v>
      </c>
      <c r="O6" s="11">
        <v>4.176</v>
      </c>
      <c r="P6" s="9">
        <v>11.7</v>
      </c>
      <c r="Q6" s="10">
        <f>IFERROR(__xludf.DUMMYFUNCTION("ABS(VALUE(REGEXEXTRACT(P$1, ""Ground Truth = (\d+)""))-P6)"),38.3)</f>
        <v>38.3</v>
      </c>
      <c r="R6" s="11">
        <v>3.777</v>
      </c>
      <c r="S6" s="9">
        <v>0.0</v>
      </c>
      <c r="T6" s="10">
        <f>IFERROR(__xludf.DUMMYFUNCTION("ABS(VALUE(REGEXEXTRACT(S$1, ""Ground Truth = (\d+)""))-S6)"),40.0)</f>
        <v>40</v>
      </c>
      <c r="U6" s="11">
        <v>5.351</v>
      </c>
      <c r="V6" s="11">
        <f t="shared" ref="V6:W6" si="4">AVERAGE(E6,H6,K6,N6,Q6,T6)</f>
        <v>18.25833333</v>
      </c>
      <c r="W6" s="11">
        <f t="shared" si="4"/>
        <v>4.410666667</v>
      </c>
      <c r="X6" s="12"/>
      <c r="Y6" s="12"/>
      <c r="Z6" s="12"/>
      <c r="AA6" s="5"/>
      <c r="AB6" s="5"/>
      <c r="AC6" s="5"/>
      <c r="AD6" s="5"/>
      <c r="AE6" s="5"/>
      <c r="AF6" s="5"/>
      <c r="AG6" s="5"/>
      <c r="AH6" s="5"/>
    </row>
    <row r="7" ht="33.75" customHeight="1">
      <c r="A7" s="8" t="s">
        <v>25</v>
      </c>
      <c r="B7" s="8" t="s">
        <v>26</v>
      </c>
      <c r="C7" s="8" t="s">
        <v>27</v>
      </c>
      <c r="D7" s="9">
        <v>91.85</v>
      </c>
      <c r="E7" s="10">
        <f>IFERROR(__xludf.DUMMYFUNCTION("ABS(VALUE(REGEXEXTRACT(D$1, ""Ground Truth = (\d+)""))-D7)"),3.1500000000000057)</f>
        <v>3.15</v>
      </c>
      <c r="F7" s="11">
        <v>3.831</v>
      </c>
      <c r="G7" s="9">
        <v>91.5</v>
      </c>
      <c r="H7" s="10">
        <f>IFERROR(__xludf.DUMMYFUNCTION("ABS(VALUE(REGEXEXTRACT(G$1, ""Ground Truth = (\d+)""))-G7)"),11.5)</f>
        <v>11.5</v>
      </c>
      <c r="I7" s="11">
        <v>4.641</v>
      </c>
      <c r="J7" s="9">
        <v>91.875</v>
      </c>
      <c r="K7" s="10">
        <f>IFERROR(__xludf.DUMMYFUNCTION("ABS(VALUE(REGEXEXTRACT(J$1, ""Ground Truth = (\d+)""))-J7)"),31.875)</f>
        <v>31.875</v>
      </c>
      <c r="L7" s="11">
        <v>3.221</v>
      </c>
      <c r="M7" s="9">
        <v>91.5</v>
      </c>
      <c r="N7" s="10">
        <f>IFERROR(__xludf.DUMMYFUNCTION("ABS(VALUE(REGEXEXTRACT(M$1, ""Ground Truth = (\d+)""))-M7)"),1.5)</f>
        <v>1.5</v>
      </c>
      <c r="O7" s="11">
        <v>3.685</v>
      </c>
      <c r="P7" s="9">
        <v>91.875</v>
      </c>
      <c r="Q7" s="10">
        <f>IFERROR(__xludf.DUMMYFUNCTION("ABS(VALUE(REGEXEXTRACT(P$1, ""Ground Truth = (\d+)""))-P7)"),41.875)</f>
        <v>41.875</v>
      </c>
      <c r="R7" s="11">
        <v>4.27</v>
      </c>
      <c r="S7" s="9">
        <v>91.875</v>
      </c>
      <c r="T7" s="10">
        <f>IFERROR(__xludf.DUMMYFUNCTION("ABS(VALUE(REGEXEXTRACT(S$1, ""Ground Truth = (\d+)""))-S7)"),51.875)</f>
        <v>51.875</v>
      </c>
      <c r="U7" s="11">
        <v>5.704</v>
      </c>
      <c r="V7" s="11">
        <f t="shared" ref="V7:W7" si="5">AVERAGE(E7,H7,K7,N7,Q7,T7)</f>
        <v>23.62916667</v>
      </c>
      <c r="W7" s="11">
        <f t="shared" si="5"/>
        <v>4.225333333</v>
      </c>
      <c r="X7" s="12"/>
      <c r="Y7" s="12"/>
      <c r="Z7" s="12"/>
      <c r="AA7" s="5"/>
      <c r="AB7" s="5"/>
      <c r="AC7" s="5"/>
      <c r="AD7" s="5"/>
      <c r="AE7" s="5"/>
      <c r="AF7" s="5"/>
      <c r="AG7" s="5"/>
      <c r="AH7" s="5"/>
    </row>
    <row r="8" ht="33.75" customHeight="1">
      <c r="A8" s="8" t="s">
        <v>28</v>
      </c>
      <c r="B8" s="8" t="s">
        <v>18</v>
      </c>
      <c r="C8" s="8" t="s">
        <v>29</v>
      </c>
      <c r="D8" s="9">
        <v>87.34</v>
      </c>
      <c r="E8" s="10">
        <f>IFERROR(__xludf.DUMMYFUNCTION("ABS(VALUE(REGEXEXTRACT(D$1, ""Ground Truth = (\d+)""))-D8)"),7.659999999999997)</f>
        <v>7.66</v>
      </c>
      <c r="F8" s="9">
        <v>1.922</v>
      </c>
      <c r="G8" s="9">
        <v>83.6</v>
      </c>
      <c r="H8" s="10">
        <f>IFERROR(__xludf.DUMMYFUNCTION("ABS(VALUE(REGEXEXTRACT(G$1, ""Ground Truth = (\d+)""))-G8)"),3.5999999999999943)</f>
        <v>3.6</v>
      </c>
      <c r="I8" s="9">
        <v>1.658</v>
      </c>
      <c r="J8" s="9">
        <v>73.9</v>
      </c>
      <c r="K8" s="10">
        <f>IFERROR(__xludf.DUMMYFUNCTION("ABS(VALUE(REGEXEXTRACT(J$1, ""Ground Truth = (\d+)""))-J8)"),13.900000000000006)</f>
        <v>13.9</v>
      </c>
      <c r="L8" s="9">
        <v>2.507</v>
      </c>
      <c r="M8" s="9">
        <v>88.3</v>
      </c>
      <c r="N8" s="10">
        <f>IFERROR(__xludf.DUMMYFUNCTION("ABS(VALUE(REGEXEXTRACT(M$1, ""Ground Truth = (\d+)""))-M8)"),1.7000000000000028)</f>
        <v>1.7</v>
      </c>
      <c r="O8" s="9">
        <v>1.585</v>
      </c>
      <c r="P8" s="9">
        <v>69.5</v>
      </c>
      <c r="Q8" s="10">
        <f>IFERROR(__xludf.DUMMYFUNCTION("ABS(VALUE(REGEXEXTRACT(P$1, ""Ground Truth = (\d+)""))-P8)"),19.5)</f>
        <v>19.5</v>
      </c>
      <c r="R8" s="9">
        <v>1.649</v>
      </c>
      <c r="S8" s="9">
        <v>46.5</v>
      </c>
      <c r="T8" s="10">
        <f>IFERROR(__xludf.DUMMYFUNCTION("ABS(VALUE(REGEXEXTRACT(S$1, ""Ground Truth = (\d+)""))-S8)"),6.5)</f>
        <v>6.5</v>
      </c>
      <c r="U8" s="9">
        <v>1.887</v>
      </c>
      <c r="V8" s="11">
        <f t="shared" ref="V8:W8" si="6">AVERAGE(E8,H8,K8,N8,Q8,T8)</f>
        <v>8.81</v>
      </c>
      <c r="W8" s="9">
        <f t="shared" si="6"/>
        <v>1.868</v>
      </c>
      <c r="X8" s="14" t="s">
        <v>30</v>
      </c>
      <c r="Y8" s="12"/>
      <c r="Z8" s="12"/>
      <c r="AA8" s="5"/>
      <c r="AB8" s="5"/>
      <c r="AC8" s="5"/>
      <c r="AD8" s="5"/>
      <c r="AE8" s="5"/>
      <c r="AF8" s="5"/>
      <c r="AG8" s="5"/>
      <c r="AH8" s="5"/>
    </row>
    <row r="9" ht="33.75" customHeight="1">
      <c r="A9" s="8" t="s">
        <v>31</v>
      </c>
      <c r="B9" s="15" t="s">
        <v>15</v>
      </c>
      <c r="C9" s="8" t="s">
        <v>32</v>
      </c>
      <c r="D9" s="9">
        <v>84.3</v>
      </c>
      <c r="E9" s="10">
        <f>IFERROR(__xludf.DUMMYFUNCTION("ABS(VALUE(REGEXEXTRACT(D$1, ""Ground Truth = (\d+)""))-D9)"),10.700000000000003)</f>
        <v>10.7</v>
      </c>
      <c r="F9" s="9">
        <v>2.098</v>
      </c>
      <c r="G9" s="9">
        <v>84.3</v>
      </c>
      <c r="H9" s="10">
        <f>IFERROR(__xludf.DUMMYFUNCTION("ABS(VALUE(REGEXEXTRACT(G$1, ""Ground Truth = (\d+)""))-G9)"),4.299999999999997)</f>
        <v>4.3</v>
      </c>
      <c r="I9" s="9">
        <v>2.038</v>
      </c>
      <c r="J9" s="9">
        <v>60.0</v>
      </c>
      <c r="K9" s="10">
        <f>IFERROR(__xludf.DUMMYFUNCTION("ABS(VALUE(REGEXEXTRACT(J$1, ""Ground Truth = (\d+)""))-J9)"),0.0)</f>
        <v>0</v>
      </c>
      <c r="L9" s="9">
        <v>2.228</v>
      </c>
      <c r="M9" s="9">
        <v>84.3</v>
      </c>
      <c r="N9" s="10">
        <f>IFERROR(__xludf.DUMMYFUNCTION("ABS(VALUE(REGEXEXTRACT(M$1, ""Ground Truth = (\d+)""))-M9)"),5.700000000000003)</f>
        <v>5.7</v>
      </c>
      <c r="O9" s="9">
        <v>2.205</v>
      </c>
      <c r="P9" s="9">
        <v>65.0</v>
      </c>
      <c r="Q9" s="10">
        <f>IFERROR(__xludf.DUMMYFUNCTION("ABS(VALUE(REGEXEXTRACT(P$1, ""Ground Truth = (\d+)""))-P9)"),15.0)</f>
        <v>15</v>
      </c>
      <c r="R9" s="9">
        <v>2.263</v>
      </c>
      <c r="S9" s="9">
        <v>65.5</v>
      </c>
      <c r="T9" s="10">
        <f>IFERROR(__xludf.DUMMYFUNCTION("ABS(VALUE(REGEXEXTRACT(S$1, ""Ground Truth = (\d+)""))-S9)"),25.5)</f>
        <v>25.5</v>
      </c>
      <c r="U9" s="9">
        <v>1.971</v>
      </c>
      <c r="V9" s="11">
        <f t="shared" ref="V9:W9" si="7">AVERAGE(E9,H9,K9,N9,Q9,T9)</f>
        <v>10.2</v>
      </c>
      <c r="W9" s="9">
        <f t="shared" si="7"/>
        <v>2.133833333</v>
      </c>
      <c r="X9" s="12"/>
      <c r="Y9" s="12"/>
      <c r="Z9" s="12"/>
      <c r="AA9" s="5"/>
      <c r="AB9" s="5"/>
      <c r="AC9" s="5"/>
      <c r="AD9" s="5"/>
      <c r="AE9" s="5"/>
      <c r="AF9" s="5"/>
      <c r="AG9" s="5"/>
      <c r="AH9" s="5"/>
    </row>
    <row r="10" ht="33.75" customHeight="1">
      <c r="A10" s="8" t="s">
        <v>33</v>
      </c>
      <c r="B10" s="8" t="s">
        <v>20</v>
      </c>
      <c r="C10" s="8" t="s">
        <v>34</v>
      </c>
      <c r="D10" s="9">
        <v>91.5</v>
      </c>
      <c r="E10" s="10">
        <f>IFERROR(__xludf.DUMMYFUNCTION("ABS(VALUE(REGEXEXTRACT(D$1, ""Ground Truth = (\d+)""))-D10)"),3.5)</f>
        <v>3.5</v>
      </c>
      <c r="F10" s="9">
        <v>1.175</v>
      </c>
      <c r="G10" s="9">
        <v>91.5</v>
      </c>
      <c r="H10" s="10">
        <f>IFERROR(__xludf.DUMMYFUNCTION("ABS(VALUE(REGEXEXTRACT(G$1, ""Ground Truth = (\d+)""))-G10)"),11.5)</f>
        <v>11.5</v>
      </c>
      <c r="I10" s="9">
        <v>1.133</v>
      </c>
      <c r="J10" s="9">
        <v>91.5</v>
      </c>
      <c r="K10" s="10">
        <f>IFERROR(__xludf.DUMMYFUNCTION("ABS(VALUE(REGEXEXTRACT(J$1, ""Ground Truth = (\d+)""))-J10)"),31.5)</f>
        <v>31.5</v>
      </c>
      <c r="L10" s="9">
        <v>1.104</v>
      </c>
      <c r="M10" s="9">
        <v>91.5</v>
      </c>
      <c r="N10" s="10">
        <f>IFERROR(__xludf.DUMMYFUNCTION("ABS(VALUE(REGEXEXTRACT(M$1, ""Ground Truth = (\d+)""))-M10)"),1.5)</f>
        <v>1.5</v>
      </c>
      <c r="O10" s="9">
        <v>1.172</v>
      </c>
      <c r="P10" s="9">
        <v>91.5</v>
      </c>
      <c r="Q10" s="10">
        <f>IFERROR(__xludf.DUMMYFUNCTION("ABS(VALUE(REGEXEXTRACT(P$1, ""Ground Truth = (\d+)""))-P10)"),41.5)</f>
        <v>41.5</v>
      </c>
      <c r="R10" s="9">
        <v>1.154</v>
      </c>
      <c r="S10" s="9">
        <v>91.5</v>
      </c>
      <c r="T10" s="10">
        <f>IFERROR(__xludf.DUMMYFUNCTION("ABS(VALUE(REGEXEXTRACT(S$1, ""Ground Truth = (\d+)""))-S10)"),51.5)</f>
        <v>51.5</v>
      </c>
      <c r="U10" s="9">
        <v>1.151</v>
      </c>
      <c r="V10" s="11">
        <f t="shared" ref="V10:W10" si="8">AVERAGE(E10,H10,K10,N10,Q10,T10)</f>
        <v>23.5</v>
      </c>
      <c r="W10" s="9">
        <f t="shared" si="8"/>
        <v>1.148166667</v>
      </c>
      <c r="X10" s="12"/>
      <c r="Y10" s="12"/>
      <c r="Z10" s="12"/>
      <c r="AA10" s="5"/>
      <c r="AB10" s="5"/>
      <c r="AC10" s="5"/>
      <c r="AD10" s="5"/>
      <c r="AE10" s="5"/>
      <c r="AF10" s="5"/>
      <c r="AG10" s="5"/>
      <c r="AH10" s="5"/>
    </row>
    <row r="11">
      <c r="A11" s="5"/>
      <c r="B11" s="5"/>
      <c r="C11" s="5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5"/>
      <c r="AB11" s="5"/>
      <c r="AC11" s="5"/>
      <c r="AD11" s="5"/>
      <c r="AE11" s="5"/>
      <c r="AF11" s="5"/>
      <c r="AG11" s="5"/>
      <c r="AH11" s="5"/>
    </row>
    <row r="12">
      <c r="A12" s="5"/>
      <c r="B12" s="5"/>
      <c r="C12" s="5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5"/>
      <c r="AB12" s="5"/>
      <c r="AC12" s="5"/>
      <c r="AD12" s="5"/>
      <c r="AE12" s="5"/>
      <c r="AF12" s="5"/>
      <c r="AG12" s="5"/>
      <c r="AH12" s="5"/>
    </row>
    <row r="22">
      <c r="A22" s="5"/>
      <c r="B22" s="5"/>
      <c r="C22" s="5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5"/>
      <c r="AB22" s="5"/>
      <c r="AC22" s="5"/>
      <c r="AD22" s="5"/>
      <c r="AE22" s="5"/>
      <c r="AF22" s="5"/>
      <c r="AG22" s="5"/>
      <c r="AH22" s="5"/>
    </row>
    <row r="23">
      <c r="A23" s="5"/>
      <c r="B23" s="5"/>
      <c r="C23" s="5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5"/>
      <c r="AB23" s="5"/>
      <c r="AC23" s="5"/>
      <c r="AD23" s="5"/>
      <c r="AE23" s="5"/>
      <c r="AF23" s="5"/>
      <c r="AG23" s="5"/>
      <c r="AH23" s="5"/>
    </row>
    <row r="24">
      <c r="A24" s="5"/>
      <c r="B24" s="5"/>
      <c r="C24" s="5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5"/>
      <c r="AB24" s="5"/>
      <c r="AC24" s="5"/>
      <c r="AD24" s="5"/>
      <c r="AE24" s="5"/>
      <c r="AF24" s="5"/>
      <c r="AG24" s="5"/>
      <c r="AH24" s="5"/>
    </row>
    <row r="25">
      <c r="A25" s="5"/>
      <c r="B25" s="5"/>
      <c r="C25" s="5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5"/>
      <c r="AB25" s="5"/>
      <c r="AC25" s="5"/>
      <c r="AD25" s="5"/>
      <c r="AE25" s="5"/>
      <c r="AF25" s="5"/>
      <c r="AG25" s="5"/>
      <c r="AH25" s="5"/>
    </row>
    <row r="26">
      <c r="A26" s="5"/>
      <c r="B26" s="5"/>
      <c r="C26" s="5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5"/>
      <c r="AB26" s="5"/>
      <c r="AC26" s="5"/>
      <c r="AD26" s="5"/>
      <c r="AE26" s="5"/>
      <c r="AF26" s="5"/>
      <c r="AG26" s="5"/>
      <c r="AH26" s="5"/>
    </row>
    <row r="27">
      <c r="A27" s="5"/>
      <c r="B27" s="5"/>
      <c r="C27" s="5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5"/>
      <c r="AB27" s="5"/>
      <c r="AC27" s="5"/>
      <c r="AD27" s="5"/>
      <c r="AE27" s="5"/>
      <c r="AF27" s="5"/>
      <c r="AG27" s="5"/>
      <c r="AH27" s="5"/>
    </row>
    <row r="28">
      <c r="A28" s="5"/>
      <c r="B28" s="5"/>
      <c r="C28" s="5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5"/>
      <c r="AB28" s="5"/>
      <c r="AC28" s="5"/>
      <c r="AD28" s="5"/>
      <c r="AE28" s="5"/>
      <c r="AF28" s="5"/>
      <c r="AG28" s="5"/>
      <c r="AH28" s="5"/>
    </row>
    <row r="29">
      <c r="A29" s="5"/>
      <c r="B29" s="5"/>
      <c r="C29" s="5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5"/>
      <c r="AB29" s="5"/>
      <c r="AC29" s="5"/>
      <c r="AD29" s="5"/>
      <c r="AE29" s="5"/>
      <c r="AF29" s="5"/>
      <c r="AG29" s="5"/>
      <c r="AH29" s="5"/>
    </row>
    <row r="30">
      <c r="A30" s="5"/>
      <c r="B30" s="5"/>
      <c r="C30" s="5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5"/>
      <c r="AB30" s="5"/>
      <c r="AC30" s="5"/>
      <c r="AD30" s="5"/>
      <c r="AE30" s="5"/>
      <c r="AF30" s="5"/>
      <c r="AG30" s="5"/>
      <c r="AH30" s="5"/>
    </row>
    <row r="31">
      <c r="A31" s="5"/>
      <c r="B31" s="5"/>
      <c r="C31" s="5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5"/>
      <c r="AB31" s="5"/>
      <c r="AC31" s="5"/>
      <c r="AD31" s="5"/>
      <c r="AE31" s="5"/>
      <c r="AF31" s="5"/>
      <c r="AG31" s="5"/>
      <c r="AH31" s="5"/>
    </row>
    <row r="32">
      <c r="A32" s="5"/>
      <c r="B32" s="5"/>
      <c r="C32" s="5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5"/>
      <c r="AB32" s="5"/>
      <c r="AC32" s="5"/>
      <c r="AD32" s="5"/>
      <c r="AE32" s="5"/>
      <c r="AF32" s="5"/>
      <c r="AG32" s="5"/>
      <c r="AH32" s="5"/>
    </row>
    <row r="33">
      <c r="A33" s="5"/>
      <c r="B33" s="5"/>
      <c r="C33" s="5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5"/>
      <c r="AB33" s="5"/>
      <c r="AC33" s="5"/>
      <c r="AD33" s="5"/>
      <c r="AE33" s="5"/>
      <c r="AF33" s="5"/>
      <c r="AG33" s="5"/>
      <c r="AH33" s="5"/>
    </row>
    <row r="34">
      <c r="A34" s="5"/>
      <c r="B34" s="5"/>
      <c r="C34" s="5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5"/>
      <c r="AB34" s="5"/>
      <c r="AC34" s="5"/>
      <c r="AD34" s="5"/>
      <c r="AE34" s="5"/>
      <c r="AF34" s="5"/>
      <c r="AG34" s="5"/>
      <c r="AH34" s="5"/>
    </row>
    <row r="35">
      <c r="A35" s="5"/>
      <c r="B35" s="5"/>
      <c r="C35" s="5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5"/>
      <c r="AB35" s="5"/>
      <c r="AC35" s="5"/>
      <c r="AD35" s="5"/>
      <c r="AE35" s="5"/>
      <c r="AF35" s="5"/>
      <c r="AG35" s="5"/>
      <c r="AH35" s="5"/>
    </row>
    <row r="36">
      <c r="A36" s="5"/>
      <c r="B36" s="5"/>
      <c r="C36" s="5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5"/>
      <c r="AB36" s="5"/>
      <c r="AC36" s="5"/>
      <c r="AD36" s="5"/>
      <c r="AE36" s="5"/>
      <c r="AF36" s="5"/>
      <c r="AG36" s="5"/>
      <c r="AH36" s="5"/>
    </row>
    <row r="37">
      <c r="A37" s="5"/>
      <c r="B37" s="5"/>
      <c r="C37" s="5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5"/>
      <c r="AB37" s="5"/>
      <c r="AC37" s="5"/>
      <c r="AD37" s="5"/>
      <c r="AE37" s="5"/>
      <c r="AF37" s="5"/>
      <c r="AG37" s="5"/>
      <c r="AH37" s="5"/>
    </row>
    <row r="38">
      <c r="A38" s="5"/>
      <c r="B38" s="5"/>
      <c r="C38" s="5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5"/>
      <c r="AB38" s="5"/>
      <c r="AC38" s="5"/>
      <c r="AD38" s="5"/>
      <c r="AE38" s="5"/>
      <c r="AF38" s="5"/>
      <c r="AG38" s="5"/>
      <c r="AH38" s="5"/>
    </row>
    <row r="39">
      <c r="A39" s="5"/>
      <c r="B39" s="5"/>
      <c r="C39" s="5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5"/>
      <c r="AB39" s="5"/>
      <c r="AC39" s="5"/>
      <c r="AD39" s="5"/>
      <c r="AE39" s="5"/>
      <c r="AF39" s="5"/>
      <c r="AG39" s="5"/>
      <c r="AH39" s="5"/>
    </row>
    <row r="40">
      <c r="A40" s="5"/>
      <c r="B40" s="5"/>
      <c r="C40" s="5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5"/>
      <c r="AB40" s="5"/>
      <c r="AC40" s="5"/>
      <c r="AD40" s="5"/>
      <c r="AE40" s="5"/>
      <c r="AF40" s="5"/>
      <c r="AG40" s="5"/>
      <c r="AH40" s="5"/>
    </row>
    <row r="41">
      <c r="A41" s="5"/>
      <c r="B41" s="5"/>
      <c r="C41" s="5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5"/>
      <c r="AB41" s="5"/>
      <c r="AC41" s="5"/>
      <c r="AD41" s="5"/>
      <c r="AE41" s="5"/>
      <c r="AF41" s="5"/>
      <c r="AG41" s="5"/>
      <c r="AH41" s="5"/>
    </row>
    <row r="42">
      <c r="A42" s="5"/>
      <c r="B42" s="5"/>
      <c r="C42" s="5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5"/>
      <c r="AB42" s="5"/>
      <c r="AC42" s="5"/>
      <c r="AD42" s="5"/>
      <c r="AE42" s="5"/>
      <c r="AF42" s="5"/>
      <c r="AG42" s="5"/>
      <c r="AH42" s="5"/>
    </row>
    <row r="43">
      <c r="A43" s="5"/>
      <c r="B43" s="5"/>
      <c r="C43" s="5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5"/>
      <c r="AB43" s="5"/>
      <c r="AC43" s="5"/>
      <c r="AD43" s="5"/>
      <c r="AE43" s="5"/>
      <c r="AF43" s="5"/>
      <c r="AG43" s="5"/>
      <c r="AH43" s="5"/>
    </row>
    <row r="44">
      <c r="A44" s="5"/>
      <c r="B44" s="5"/>
      <c r="C44" s="5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5"/>
      <c r="AB44" s="5"/>
      <c r="AC44" s="5"/>
      <c r="AD44" s="5"/>
      <c r="AE44" s="5"/>
      <c r="AF44" s="5"/>
      <c r="AG44" s="5"/>
      <c r="AH44" s="5"/>
    </row>
    <row r="45">
      <c r="A45" s="5"/>
      <c r="B45" s="5"/>
      <c r="C45" s="5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5"/>
      <c r="AB45" s="5"/>
      <c r="AC45" s="5"/>
      <c r="AD45" s="5"/>
      <c r="AE45" s="5"/>
      <c r="AF45" s="5"/>
      <c r="AG45" s="5"/>
      <c r="AH45" s="5"/>
    </row>
    <row r="46">
      <c r="A46" s="5"/>
      <c r="B46" s="5"/>
      <c r="C46" s="5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5"/>
      <c r="AB46" s="5"/>
      <c r="AC46" s="5"/>
      <c r="AD46" s="5"/>
      <c r="AE46" s="5"/>
      <c r="AF46" s="5"/>
      <c r="AG46" s="5"/>
      <c r="AH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</row>
  </sheetData>
  <mergeCells count="11">
    <mergeCell ref="P1:R1"/>
    <mergeCell ref="S1:U1"/>
    <mergeCell ref="V1:V2"/>
    <mergeCell ref="W1:W2"/>
    <mergeCell ref="A1:A2"/>
    <mergeCell ref="B1:B2"/>
    <mergeCell ref="C1:C2"/>
    <mergeCell ref="D1:F1"/>
    <mergeCell ref="G1:I1"/>
    <mergeCell ref="J1:L1"/>
    <mergeCell ref="M1:O1"/>
  </mergeCells>
  <conditionalFormatting sqref="E3:E21 H3:H21 K3:K21 N3:N21 Q3:Q21 T3:T21">
    <cfRule type="colorScale" priority="1">
      <colorScale>
        <cfvo type="formula" val="0"/>
        <cfvo type="formula" val="20"/>
        <cfvo type="formula" val="40"/>
        <color rgb="FF00FF00"/>
        <color rgb="FFFFE599"/>
        <color rgb="FFFF0000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0.88"/>
    <col customWidth="1" min="5" max="22" width="10.13"/>
  </cols>
  <sheetData>
    <row r="1" ht="30.0" customHeight="1">
      <c r="A1" s="16" t="s">
        <v>35</v>
      </c>
      <c r="B1" s="16" t="s">
        <v>1</v>
      </c>
      <c r="C1" s="16" t="s">
        <v>2</v>
      </c>
      <c r="D1" s="16" t="s">
        <v>36</v>
      </c>
      <c r="E1" s="17" t="s">
        <v>3</v>
      </c>
      <c r="F1" s="3"/>
      <c r="G1" s="4"/>
      <c r="H1" s="17" t="s">
        <v>4</v>
      </c>
      <c r="I1" s="3"/>
      <c r="J1" s="4"/>
      <c r="K1" s="17" t="s">
        <v>5</v>
      </c>
      <c r="L1" s="3"/>
      <c r="M1" s="4"/>
      <c r="N1" s="17" t="s">
        <v>6</v>
      </c>
      <c r="O1" s="3"/>
      <c r="P1" s="4"/>
      <c r="Q1" s="17" t="s">
        <v>7</v>
      </c>
      <c r="R1" s="3"/>
      <c r="S1" s="4"/>
      <c r="T1" s="17" t="s">
        <v>8</v>
      </c>
      <c r="U1" s="3"/>
      <c r="V1" s="4"/>
      <c r="W1" s="16" t="s">
        <v>9</v>
      </c>
      <c r="X1" s="16" t="s">
        <v>10</v>
      </c>
      <c r="Y1" s="5"/>
      <c r="Z1" s="5"/>
      <c r="AA1" s="5"/>
      <c r="AB1" s="5"/>
      <c r="AC1" s="5"/>
      <c r="AD1" s="5"/>
      <c r="AE1" s="5"/>
      <c r="AF1" s="5"/>
      <c r="AG1" s="5"/>
      <c r="AH1" s="5"/>
      <c r="AI1" s="5"/>
    </row>
    <row r="2">
      <c r="A2" s="6"/>
      <c r="B2" s="6"/>
      <c r="C2" s="6"/>
      <c r="D2" s="6"/>
      <c r="E2" s="18" t="s">
        <v>11</v>
      </c>
      <c r="F2" s="18" t="s">
        <v>12</v>
      </c>
      <c r="G2" s="18" t="s">
        <v>37</v>
      </c>
      <c r="H2" s="18" t="s">
        <v>11</v>
      </c>
      <c r="I2" s="18" t="s">
        <v>12</v>
      </c>
      <c r="J2" s="18" t="s">
        <v>37</v>
      </c>
      <c r="K2" s="18" t="s">
        <v>11</v>
      </c>
      <c r="L2" s="18" t="s">
        <v>12</v>
      </c>
      <c r="M2" s="18" t="s">
        <v>37</v>
      </c>
      <c r="N2" s="18" t="s">
        <v>11</v>
      </c>
      <c r="O2" s="18" t="s">
        <v>12</v>
      </c>
      <c r="P2" s="18" t="s">
        <v>37</v>
      </c>
      <c r="Q2" s="18" t="s">
        <v>11</v>
      </c>
      <c r="R2" s="18" t="s">
        <v>12</v>
      </c>
      <c r="S2" s="18" t="s">
        <v>37</v>
      </c>
      <c r="T2" s="18" t="s">
        <v>11</v>
      </c>
      <c r="U2" s="18" t="s">
        <v>12</v>
      </c>
      <c r="V2" s="18" t="s">
        <v>37</v>
      </c>
      <c r="W2" s="6"/>
      <c r="X2" s="6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</row>
    <row r="3" ht="33.75" customHeight="1">
      <c r="A3" s="8" t="s">
        <v>38</v>
      </c>
      <c r="B3" s="8" t="s">
        <v>20</v>
      </c>
      <c r="C3" s="9" t="s">
        <v>39</v>
      </c>
      <c r="D3" s="9">
        <v>686.86</v>
      </c>
      <c r="E3" s="19">
        <v>0.9361</v>
      </c>
      <c r="F3" s="10">
        <f>IFERROR(__xludf.DUMMYFUNCTION("ABS(VALUE(REGEXEXTRACT(E$1, ""Ground Truth = (\d+)""))-E3*100)"),1.3900000000000006)</f>
        <v>1.39</v>
      </c>
      <c r="G3" s="20">
        <v>9.79</v>
      </c>
      <c r="H3" s="19">
        <v>0.8757</v>
      </c>
      <c r="I3" s="10">
        <f>IFERROR(__xludf.DUMMYFUNCTION("ABS(VALUE(REGEXEXTRACT(H$1, ""Ground Truth = (\d+)""))-H3*100)"),7.570000000000007)</f>
        <v>7.57</v>
      </c>
      <c r="J3" s="9">
        <v>7.93</v>
      </c>
      <c r="K3" s="19">
        <v>0.7766</v>
      </c>
      <c r="L3" s="10">
        <f>IFERROR(__xludf.DUMMYFUNCTION("ABS(VALUE(REGEXEXTRACT(K$1, ""Ground Truth = (\d+)""))-K3*100)"),17.659999999999997)</f>
        <v>17.66</v>
      </c>
      <c r="M3" s="9">
        <v>10.05</v>
      </c>
      <c r="N3" s="19">
        <v>0.9119</v>
      </c>
      <c r="O3" s="10">
        <f>IFERROR(__xludf.DUMMYFUNCTION("ABS(VALUE(REGEXEXTRACT(N$1, ""Ground Truth = (\d+)""))-N3*100)"),1.1899999999999977)</f>
        <v>1.19</v>
      </c>
      <c r="P3" s="9">
        <v>8.49</v>
      </c>
      <c r="Q3" s="19">
        <v>0.8746</v>
      </c>
      <c r="R3" s="10">
        <f>IFERROR(__xludf.DUMMYFUNCTION("ABS(VALUE(REGEXEXTRACT(Q$1, ""Ground Truth = (\d+)""))-Q3*100)"),37.46000000000001)</f>
        <v>37.46</v>
      </c>
      <c r="S3" s="9">
        <v>8.32</v>
      </c>
      <c r="T3" s="19">
        <v>0.8358</v>
      </c>
      <c r="U3" s="10">
        <f>IFERROR(__xludf.DUMMYFUNCTION("ABS(VALUE(REGEXEXTRACT(T$1, ""Ground Truth = (\d+)""))-T3*100)"),43.58)</f>
        <v>43.58</v>
      </c>
      <c r="V3" s="9">
        <v>7.5</v>
      </c>
      <c r="W3" s="11">
        <f t="shared" ref="W3:X3" si="1">AVERAGE(F3,I3,L3,O3,R3,U3)</f>
        <v>18.14166667</v>
      </c>
      <c r="X3" s="20">
        <f t="shared" si="1"/>
        <v>8.68</v>
      </c>
      <c r="Y3" s="12"/>
      <c r="Z3" s="12"/>
      <c r="AA3" s="12"/>
      <c r="AB3" s="5"/>
      <c r="AC3" s="5"/>
      <c r="AD3" s="5"/>
      <c r="AE3" s="5"/>
      <c r="AF3" s="5"/>
      <c r="AG3" s="5"/>
      <c r="AH3" s="5"/>
      <c r="AI3" s="5"/>
    </row>
    <row r="4" ht="33.75" customHeight="1">
      <c r="A4" s="8" t="s">
        <v>40</v>
      </c>
      <c r="B4" s="8" t="s">
        <v>41</v>
      </c>
      <c r="C4" s="9" t="s">
        <v>42</v>
      </c>
      <c r="D4" s="9">
        <v>1106.21</v>
      </c>
      <c r="E4" s="19">
        <v>0.9225</v>
      </c>
      <c r="F4" s="10">
        <f>IFERROR(__xludf.DUMMYFUNCTION("ABS(VALUE(REGEXEXTRACT(E$1, ""Ground Truth = (\d+)""))-E4*100)"),2.75)</f>
        <v>2.75</v>
      </c>
      <c r="G4" s="20">
        <v>22.75</v>
      </c>
      <c r="H4" s="19">
        <v>0.8805</v>
      </c>
      <c r="I4" s="10">
        <f>IFERROR(__xludf.DUMMYFUNCTION("ABS(VALUE(REGEXEXTRACT(H$1, ""Ground Truth = (\d+)""))-H4*100)"),8.049999999999997)</f>
        <v>8.05</v>
      </c>
      <c r="J4" s="9">
        <v>9.44</v>
      </c>
      <c r="K4" s="19">
        <v>0.7251</v>
      </c>
      <c r="L4" s="10">
        <f>IFERROR(__xludf.DUMMYFUNCTION("ABS(VALUE(REGEXEXTRACT(K$1, ""Ground Truth = (\d+)""))-K4*100)"),12.509999999999991)</f>
        <v>12.51</v>
      </c>
      <c r="M4" s="9">
        <v>7.79</v>
      </c>
      <c r="N4" s="19">
        <v>0.9282</v>
      </c>
      <c r="O4" s="10">
        <f>IFERROR(__xludf.DUMMYFUNCTION("ABS(VALUE(REGEXEXTRACT(N$1, ""Ground Truth = (\d+)""))-N4*100)"),2.8200000000000074)</f>
        <v>2.82</v>
      </c>
      <c r="P4" s="9">
        <v>12.8</v>
      </c>
      <c r="Q4" s="19">
        <v>0.8499</v>
      </c>
      <c r="R4" s="10">
        <f>IFERROR(__xludf.DUMMYFUNCTION("ABS(VALUE(REGEXEXTRACT(Q$1, ""Ground Truth = (\d+)""))-Q4*100)"),34.989999999999995)</f>
        <v>34.99</v>
      </c>
      <c r="S4" s="9">
        <v>11.07</v>
      </c>
      <c r="T4" s="19">
        <v>0.6984</v>
      </c>
      <c r="U4" s="10">
        <f>IFERROR(__xludf.DUMMYFUNCTION("ABS(VALUE(REGEXEXTRACT(T$1, ""Ground Truth = (\d+)""))-T4*100)"),29.840000000000003)</f>
        <v>29.84</v>
      </c>
      <c r="V4" s="9">
        <v>21.9</v>
      </c>
      <c r="W4" s="11">
        <f t="shared" ref="W4:X4" si="2">AVERAGE(F4,I4,L4,O4,R4,U4)</f>
        <v>15.16</v>
      </c>
      <c r="X4" s="20">
        <f t="shared" si="2"/>
        <v>14.29166667</v>
      </c>
      <c r="Y4" s="12"/>
      <c r="Z4" s="12"/>
      <c r="AA4" s="12"/>
      <c r="AB4" s="5"/>
      <c r="AC4" s="5"/>
      <c r="AD4" s="5"/>
      <c r="AE4" s="5"/>
      <c r="AF4" s="5"/>
      <c r="AG4" s="5"/>
      <c r="AH4" s="5"/>
      <c r="AI4" s="5"/>
    </row>
    <row r="5" ht="33.75" customHeight="1">
      <c r="A5" s="8" t="s">
        <v>43</v>
      </c>
      <c r="B5" s="8" t="s">
        <v>20</v>
      </c>
      <c r="C5" s="9" t="s">
        <v>29</v>
      </c>
      <c r="D5" s="9">
        <v>2905.19</v>
      </c>
      <c r="E5" s="19">
        <v>0.8516</v>
      </c>
      <c r="F5" s="10">
        <f>IFERROR(__xludf.DUMMYFUNCTION("ABS(VALUE(REGEXEXTRACT(E$1, ""Ground Truth = (\d+)""))-E5*100)"),9.840000000000003)</f>
        <v>9.84</v>
      </c>
      <c r="G5" s="20">
        <v>9.74</v>
      </c>
      <c r="H5" s="19">
        <v>0.7454</v>
      </c>
      <c r="I5" s="10">
        <f>IFERROR(__xludf.DUMMYFUNCTION("ABS(VALUE(REGEXEXTRACT(H$1, ""Ground Truth = (\d+)""))-H5*100)"),5.460000000000008)</f>
        <v>5.46</v>
      </c>
      <c r="J5" s="9">
        <v>6.08</v>
      </c>
      <c r="K5" s="19">
        <v>0.5787</v>
      </c>
      <c r="L5" s="10">
        <f>IFERROR(__xludf.DUMMYFUNCTION("ABS(VALUE(REGEXEXTRACT(K$1, ""Ground Truth = (\d+)""))-K5*100)"),2.1300000000000026)</f>
        <v>2.13</v>
      </c>
      <c r="M5" s="9">
        <v>6.5</v>
      </c>
      <c r="N5" s="19">
        <v>0.8555</v>
      </c>
      <c r="O5" s="10">
        <f>IFERROR(__xludf.DUMMYFUNCTION("ABS(VALUE(REGEXEXTRACT(N$1, ""Ground Truth = (\d+)""))-N5*100)"),4.450000000000003)</f>
        <v>4.45</v>
      </c>
      <c r="P5" s="9">
        <v>7.28</v>
      </c>
      <c r="Q5" s="19">
        <v>0.7043</v>
      </c>
      <c r="R5" s="10">
        <f>IFERROR(__xludf.DUMMYFUNCTION("ABS(VALUE(REGEXEXTRACT(Q$1, ""Ground Truth = (\d+)""))-Q5*100)"),20.430000000000007)</f>
        <v>20.43</v>
      </c>
      <c r="S5" s="9">
        <v>7.45</v>
      </c>
      <c r="T5" s="19">
        <v>0.5671</v>
      </c>
      <c r="U5" s="10">
        <f>IFERROR(__xludf.DUMMYFUNCTION("ABS(VALUE(REGEXEXTRACT(T$1, ""Ground Truth = (\d+)""))-T5*100)"),16.710000000000008)</f>
        <v>16.71</v>
      </c>
      <c r="V5" s="9">
        <v>6.81</v>
      </c>
      <c r="W5" s="11">
        <f t="shared" ref="W5:X5" si="3">AVERAGE(F5,I5,L5,O5,R5,U5)</f>
        <v>9.836666667</v>
      </c>
      <c r="X5" s="20">
        <f t="shared" si="3"/>
        <v>7.31</v>
      </c>
      <c r="Y5" s="12"/>
      <c r="Z5" s="12"/>
      <c r="AA5" s="12"/>
      <c r="AB5" s="5"/>
      <c r="AC5" s="5"/>
      <c r="AD5" s="5"/>
      <c r="AE5" s="5"/>
      <c r="AF5" s="5"/>
      <c r="AG5" s="5"/>
      <c r="AH5" s="5"/>
      <c r="AI5" s="5"/>
    </row>
    <row r="6" ht="33.75" customHeight="1">
      <c r="A6" s="8" t="s">
        <v>44</v>
      </c>
      <c r="B6" s="8" t="s">
        <v>45</v>
      </c>
      <c r="C6" s="9" t="s">
        <v>46</v>
      </c>
      <c r="D6" s="9">
        <v>1555.03</v>
      </c>
      <c r="E6" s="21">
        <v>0.9497</v>
      </c>
      <c r="F6" s="10">
        <f>IFERROR(__xludf.DUMMYFUNCTION("ABS(VALUE(REGEXEXTRACT(E$1, ""Ground Truth = (\d+)""))-E6*100)"),0.030000000000001137)</f>
        <v>0.03</v>
      </c>
      <c r="G6" s="20">
        <v>15.57</v>
      </c>
      <c r="H6" s="19">
        <v>0.936</v>
      </c>
      <c r="I6" s="10">
        <f>IFERROR(__xludf.DUMMYFUNCTION("ABS(VALUE(REGEXEXTRACT(H$1, ""Ground Truth = (\d+)""))-H6*100)"),13.600000000000009)</f>
        <v>13.6</v>
      </c>
      <c r="J6" s="9">
        <v>12.05</v>
      </c>
      <c r="K6" s="19">
        <v>0.8907</v>
      </c>
      <c r="L6" s="10">
        <f>IFERROR(__xludf.DUMMYFUNCTION("ABS(VALUE(REGEXEXTRACT(K$1, ""Ground Truth = (\d+)""))-K6*100)"),29.070000000000007)</f>
        <v>29.07</v>
      </c>
      <c r="M6" s="9">
        <v>6.76</v>
      </c>
      <c r="N6" s="19">
        <v>0.9618</v>
      </c>
      <c r="O6" s="10">
        <f>IFERROR(__xludf.DUMMYFUNCTION("ABS(VALUE(REGEXEXTRACT(N$1, ""Ground Truth = (\d+)""))-N6*100)"),6.179999999999993)</f>
        <v>6.18</v>
      </c>
      <c r="P6" s="9">
        <v>5.07</v>
      </c>
      <c r="Q6" s="19">
        <v>0.9346</v>
      </c>
      <c r="R6" s="10">
        <f>IFERROR(__xludf.DUMMYFUNCTION("ABS(VALUE(REGEXEXTRACT(Q$1, ""Ground Truth = (\d+)""))-Q6*100)"),43.459999999999994)</f>
        <v>43.46</v>
      </c>
      <c r="S6" s="9">
        <v>4.81</v>
      </c>
      <c r="T6" s="19">
        <v>0.8954</v>
      </c>
      <c r="U6" s="10">
        <f>IFERROR(__xludf.DUMMYFUNCTION("ABS(VALUE(REGEXEXTRACT(T$1, ""Ground Truth = (\d+)""))-T6*100)"),49.53999999999999)</f>
        <v>49.54</v>
      </c>
      <c r="V6" s="9">
        <v>6.02</v>
      </c>
      <c r="W6" s="11">
        <f t="shared" ref="W6:X6" si="4">AVERAGE(F6,I6,L6,O6,R6,U6)</f>
        <v>23.64666667</v>
      </c>
      <c r="X6" s="20">
        <f t="shared" si="4"/>
        <v>8.38</v>
      </c>
      <c r="Y6" s="12"/>
      <c r="Z6" s="12"/>
      <c r="AA6" s="12"/>
      <c r="AB6" s="5"/>
      <c r="AC6" s="5"/>
      <c r="AD6" s="5"/>
      <c r="AE6" s="5"/>
      <c r="AF6" s="5"/>
      <c r="AG6" s="5"/>
      <c r="AH6" s="5"/>
      <c r="AI6" s="5"/>
    </row>
    <row r="7" ht="33.75" customHeight="1">
      <c r="A7" s="8" t="s">
        <v>47</v>
      </c>
      <c r="B7" s="8" t="s">
        <v>45</v>
      </c>
      <c r="C7" s="9" t="s">
        <v>48</v>
      </c>
      <c r="D7" s="9">
        <v>2616.18</v>
      </c>
      <c r="E7" s="19">
        <v>0.958</v>
      </c>
      <c r="F7" s="10">
        <f>IFERROR(__xludf.DUMMYFUNCTION("ABS(VALUE(REGEXEXTRACT(E$1, ""Ground Truth = (\d+)""))-E7*100)"),0.7999999999999972)</f>
        <v>0.8</v>
      </c>
      <c r="G7" s="20">
        <v>13.27</v>
      </c>
      <c r="H7" s="19">
        <v>0.9305</v>
      </c>
      <c r="I7" s="10">
        <f>IFERROR(__xludf.DUMMYFUNCTION("ABS(VALUE(REGEXEXTRACT(H$1, ""Ground Truth = (\d+)""))-H7*100)"),13.049999999999997)</f>
        <v>13.05</v>
      </c>
      <c r="J7" s="9">
        <v>8.13</v>
      </c>
      <c r="K7" s="19">
        <v>0.8507</v>
      </c>
      <c r="L7" s="10">
        <f>IFERROR(__xludf.DUMMYFUNCTION("ABS(VALUE(REGEXEXTRACT(K$1, ""Ground Truth = (\d+)""))-K7*100)"),25.070000000000007)</f>
        <v>25.07</v>
      </c>
      <c r="M7" s="9">
        <v>7.19</v>
      </c>
      <c r="N7" s="19">
        <v>0.9542</v>
      </c>
      <c r="O7" s="10">
        <f>IFERROR(__xludf.DUMMYFUNCTION("ABS(VALUE(REGEXEXTRACT(N$1, ""Ground Truth = (\d+)""))-N7*100)"),5.420000000000002)</f>
        <v>5.42</v>
      </c>
      <c r="P7" s="9">
        <v>8.53</v>
      </c>
      <c r="Q7" s="19">
        <v>0.9126</v>
      </c>
      <c r="R7" s="10">
        <f>IFERROR(__xludf.DUMMYFUNCTION("ABS(VALUE(REGEXEXTRACT(Q$1, ""Ground Truth = (\d+)""))-Q7*100)"),41.25999999999999)</f>
        <v>41.26</v>
      </c>
      <c r="S7" s="9">
        <v>6.7</v>
      </c>
      <c r="T7" s="19">
        <v>0.8788</v>
      </c>
      <c r="U7" s="10">
        <f>IFERROR(__xludf.DUMMYFUNCTION("ABS(VALUE(REGEXEXTRACT(T$1, ""Ground Truth = (\d+)""))-T7*100)"),47.879999999999995)</f>
        <v>47.88</v>
      </c>
      <c r="V7" s="9">
        <v>6.64</v>
      </c>
      <c r="W7" s="11">
        <f t="shared" ref="W7:X7" si="5">AVERAGE(F7,I7,L7,O7,R7,U7)</f>
        <v>22.24666667</v>
      </c>
      <c r="X7" s="20">
        <f t="shared" si="5"/>
        <v>8.41</v>
      </c>
      <c r="Y7" s="12"/>
      <c r="Z7" s="12"/>
      <c r="AA7" s="12"/>
      <c r="AB7" s="5"/>
      <c r="AC7" s="5"/>
      <c r="AD7" s="5"/>
      <c r="AE7" s="5"/>
      <c r="AF7" s="5"/>
      <c r="AG7" s="5"/>
      <c r="AH7" s="5"/>
      <c r="AI7" s="5"/>
    </row>
    <row r="8" ht="33.75" customHeight="1">
      <c r="A8" s="8" t="s">
        <v>49</v>
      </c>
      <c r="B8" s="8" t="s">
        <v>41</v>
      </c>
      <c r="C8" s="9" t="s">
        <v>50</v>
      </c>
      <c r="D8" s="9">
        <v>2702.83</v>
      </c>
      <c r="E8" s="19">
        <v>0.8693</v>
      </c>
      <c r="F8" s="10">
        <f>IFERROR(__xludf.DUMMYFUNCTION("ABS(VALUE(REGEXEXTRACT(E$1, ""Ground Truth = (\d+)""))-E8*100)"),8.070000000000007)</f>
        <v>8.07</v>
      </c>
      <c r="G8" s="20">
        <v>2.72</v>
      </c>
      <c r="H8" s="19">
        <v>0.8649</v>
      </c>
      <c r="I8" s="10">
        <f>IFERROR(__xludf.DUMMYFUNCTION("ABS(VALUE(REGEXEXTRACT(H$1, ""Ground Truth = (\d+)""))-H8*100)"),6.489999999999995)</f>
        <v>6.49</v>
      </c>
      <c r="J8" s="9">
        <v>3.03</v>
      </c>
      <c r="K8" s="19">
        <v>0.6292</v>
      </c>
      <c r="L8" s="10">
        <f>IFERROR(__xludf.DUMMYFUNCTION("ABS(VALUE(REGEXEXTRACT(K$1, ""Ground Truth = (\d+)""))-K8*100)"),2.9200000000000017)</f>
        <v>2.92</v>
      </c>
      <c r="M8" s="9">
        <v>2.59</v>
      </c>
      <c r="N8" s="19">
        <v>0.8452</v>
      </c>
      <c r="O8" s="10">
        <f>IFERROR(__xludf.DUMMYFUNCTION("ABS(VALUE(REGEXEXTRACT(N$1, ""Ground Truth = (\d+)""))-N8*100)"),5.480000000000004)</f>
        <v>5.48</v>
      </c>
      <c r="P8" s="9">
        <v>2.83</v>
      </c>
      <c r="Q8" s="19">
        <v>0.8012</v>
      </c>
      <c r="R8" s="10">
        <f>IFERROR(__xludf.DUMMYFUNCTION("ABS(VALUE(REGEXEXTRACT(Q$1, ""Ground Truth = (\d+)""))-Q8*100)"),30.120000000000005)</f>
        <v>30.12</v>
      </c>
      <c r="S8" s="9">
        <v>2.9</v>
      </c>
      <c r="T8" s="19">
        <v>0.6216</v>
      </c>
      <c r="U8" s="10">
        <f>IFERROR(__xludf.DUMMYFUNCTION("ABS(VALUE(REGEXEXTRACT(T$1, ""Ground Truth = (\d+)""))-T8*100)"),22.160000000000004)</f>
        <v>22.16</v>
      </c>
      <c r="V8" s="9">
        <v>4.01</v>
      </c>
      <c r="W8" s="11">
        <f t="shared" ref="W8:X8" si="6">AVERAGE(F8,I8,L8,O8,R8,U8)</f>
        <v>12.54</v>
      </c>
      <c r="X8" s="20">
        <f t="shared" si="6"/>
        <v>3.013333333</v>
      </c>
      <c r="Y8" s="14" t="s">
        <v>30</v>
      </c>
      <c r="Z8" s="12"/>
      <c r="AA8" s="12"/>
      <c r="AB8" s="5"/>
      <c r="AC8" s="5"/>
      <c r="AD8" s="5"/>
      <c r="AE8" s="5"/>
      <c r="AF8" s="5"/>
      <c r="AG8" s="5"/>
      <c r="AH8" s="5"/>
      <c r="AI8" s="5"/>
    </row>
    <row r="9">
      <c r="A9" s="22"/>
      <c r="B9" s="23"/>
      <c r="C9" s="5"/>
      <c r="D9" s="5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5"/>
      <c r="AC9" s="5"/>
      <c r="AD9" s="5"/>
      <c r="AE9" s="5"/>
      <c r="AF9" s="5"/>
      <c r="AG9" s="5"/>
      <c r="AH9" s="5"/>
      <c r="AI9" s="5"/>
    </row>
    <row r="10">
      <c r="A10" s="22"/>
      <c r="B10" s="22"/>
      <c r="C10" s="5"/>
      <c r="D10" s="5"/>
      <c r="E10" s="12"/>
      <c r="F10" s="24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5"/>
      <c r="AC10" s="5"/>
      <c r="AD10" s="5"/>
      <c r="AE10" s="5"/>
      <c r="AF10" s="5"/>
      <c r="AG10" s="5"/>
      <c r="AH10" s="5"/>
      <c r="AI10" s="5"/>
    </row>
    <row r="11">
      <c r="A11" s="22"/>
      <c r="B11" s="23"/>
      <c r="C11" s="23"/>
      <c r="D11" s="23"/>
      <c r="E11" s="25"/>
      <c r="F11" s="24"/>
      <c r="G11" s="24"/>
      <c r="H11" s="25"/>
      <c r="I11" s="24"/>
      <c r="J11" s="24"/>
      <c r="K11" s="25"/>
      <c r="L11" s="24"/>
      <c r="M11" s="24"/>
      <c r="N11" s="25"/>
      <c r="O11" s="24"/>
      <c r="P11" s="24"/>
      <c r="Q11" s="25"/>
      <c r="R11" s="24"/>
      <c r="S11" s="24"/>
      <c r="T11" s="25"/>
      <c r="U11" s="24"/>
      <c r="V11" s="24"/>
      <c r="W11" s="12"/>
      <c r="X11" s="12"/>
      <c r="Y11" s="12"/>
      <c r="Z11" s="12"/>
      <c r="AA11" s="12"/>
      <c r="AB11" s="5"/>
      <c r="AC11" s="5"/>
      <c r="AD11" s="5"/>
      <c r="AE11" s="5"/>
      <c r="AF11" s="5"/>
      <c r="AG11" s="5"/>
      <c r="AH11" s="5"/>
      <c r="AI11" s="5"/>
    </row>
    <row r="12">
      <c r="A12" s="5"/>
      <c r="B12" s="5"/>
      <c r="C12" s="5"/>
      <c r="D12" s="5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5"/>
      <c r="AC12" s="5"/>
      <c r="AD12" s="5"/>
      <c r="AE12" s="5"/>
      <c r="AF12" s="5"/>
      <c r="AG12" s="5"/>
      <c r="AH12" s="5"/>
      <c r="AI12" s="5"/>
    </row>
    <row r="13">
      <c r="A13" s="5"/>
      <c r="B13" s="5"/>
      <c r="C13" s="5"/>
      <c r="D13" s="5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5"/>
      <c r="AC13" s="5"/>
      <c r="AD13" s="5"/>
      <c r="AE13" s="5"/>
      <c r="AF13" s="5"/>
      <c r="AG13" s="5"/>
      <c r="AH13" s="5"/>
      <c r="AI13" s="5"/>
    </row>
    <row r="15">
      <c r="P15" s="26"/>
      <c r="U15" s="12"/>
    </row>
    <row r="16">
      <c r="D16" s="26"/>
      <c r="I16" s="12"/>
      <c r="J16" s="12"/>
      <c r="K16" s="12"/>
      <c r="L16" s="12"/>
      <c r="M16" s="12"/>
      <c r="N16" s="5"/>
      <c r="O16" s="5"/>
      <c r="P16" s="5"/>
      <c r="Q16" s="5"/>
      <c r="R16" s="5"/>
      <c r="S16" s="5"/>
      <c r="T16" s="5"/>
      <c r="U16" s="5"/>
      <c r="V16" s="12"/>
      <c r="W16" s="12"/>
      <c r="X16" s="12"/>
      <c r="Y16" s="12"/>
      <c r="Z16" s="12"/>
      <c r="AA16" s="12"/>
      <c r="AB16" s="5"/>
      <c r="AC16" s="5"/>
      <c r="AD16" s="5"/>
      <c r="AE16" s="5"/>
      <c r="AF16" s="5"/>
      <c r="AG16" s="5"/>
      <c r="AH16" s="5"/>
      <c r="AI16" s="5"/>
    </row>
    <row r="17">
      <c r="D17" s="26"/>
      <c r="I17" s="12"/>
      <c r="J17" s="12"/>
      <c r="K17" s="12"/>
      <c r="L17" s="12"/>
      <c r="M17" s="12"/>
      <c r="N17" s="22"/>
      <c r="O17" s="22"/>
      <c r="P17" s="27"/>
      <c r="Q17" s="22"/>
      <c r="R17" s="22"/>
      <c r="S17" s="22"/>
      <c r="T17" s="22"/>
      <c r="U17" s="5"/>
      <c r="V17" s="12"/>
      <c r="W17" s="12"/>
      <c r="X17" s="12"/>
      <c r="Y17" s="12"/>
      <c r="Z17" s="12"/>
      <c r="AA17" s="12"/>
      <c r="AB17" s="5"/>
      <c r="AC17" s="5"/>
      <c r="AD17" s="5"/>
      <c r="AE17" s="5"/>
      <c r="AF17" s="5"/>
      <c r="AG17" s="5"/>
      <c r="AH17" s="5"/>
      <c r="AI17" s="5"/>
    </row>
    <row r="18">
      <c r="D18" s="26"/>
      <c r="I18" s="12"/>
      <c r="J18" s="12"/>
      <c r="K18" s="12"/>
      <c r="L18" s="12"/>
      <c r="M18" s="12"/>
      <c r="N18" s="22"/>
      <c r="O18" s="22"/>
      <c r="P18" s="27"/>
      <c r="Q18" s="22"/>
      <c r="R18" s="22"/>
      <c r="S18" s="22"/>
      <c r="T18" s="22"/>
      <c r="U18" s="5"/>
      <c r="V18" s="12"/>
      <c r="W18" s="12"/>
      <c r="X18" s="12"/>
      <c r="Y18" s="12"/>
      <c r="Z18" s="12"/>
      <c r="AA18" s="12"/>
      <c r="AB18" s="5"/>
      <c r="AC18" s="5"/>
      <c r="AD18" s="5"/>
      <c r="AE18" s="5"/>
      <c r="AF18" s="5"/>
      <c r="AG18" s="5"/>
      <c r="AH18" s="5"/>
      <c r="AI18" s="5"/>
    </row>
    <row r="19">
      <c r="D19" s="26"/>
      <c r="I19" s="12"/>
      <c r="J19" s="12"/>
      <c r="K19" s="12"/>
      <c r="L19" s="12"/>
      <c r="M19" s="12"/>
      <c r="N19" s="22"/>
      <c r="O19" s="22"/>
      <c r="P19" s="27"/>
      <c r="Q19" s="22"/>
      <c r="R19" s="22"/>
      <c r="S19" s="22"/>
      <c r="T19" s="22"/>
      <c r="U19" s="5"/>
      <c r="V19" s="12"/>
      <c r="W19" s="12"/>
      <c r="X19" s="12"/>
      <c r="Y19" s="12"/>
      <c r="Z19" s="12"/>
      <c r="AA19" s="12"/>
      <c r="AB19" s="5"/>
      <c r="AC19" s="5"/>
      <c r="AD19" s="5"/>
      <c r="AE19" s="5"/>
      <c r="AF19" s="5"/>
      <c r="AG19" s="5"/>
      <c r="AH19" s="5"/>
      <c r="AI19" s="5"/>
    </row>
    <row r="20">
      <c r="D20" s="26"/>
      <c r="I20" s="12"/>
      <c r="J20" s="12"/>
      <c r="K20" s="12"/>
      <c r="L20" s="12"/>
      <c r="M20" s="12"/>
      <c r="N20" s="22"/>
      <c r="O20" s="22"/>
      <c r="P20" s="27"/>
      <c r="Q20" s="22"/>
      <c r="R20" s="22"/>
      <c r="S20" s="22"/>
      <c r="T20" s="22"/>
      <c r="U20" s="5"/>
      <c r="V20" s="12"/>
      <c r="W20" s="12"/>
      <c r="X20" s="12"/>
      <c r="Y20" s="12"/>
      <c r="Z20" s="12"/>
      <c r="AA20" s="12"/>
      <c r="AB20" s="5"/>
      <c r="AC20" s="5"/>
      <c r="AD20" s="5"/>
      <c r="AE20" s="5"/>
      <c r="AF20" s="5"/>
      <c r="AG20" s="5"/>
      <c r="AH20" s="5"/>
      <c r="AI20" s="5"/>
    </row>
    <row r="21">
      <c r="D21" s="26"/>
      <c r="I21" s="12"/>
      <c r="J21" s="12"/>
      <c r="K21" s="12"/>
      <c r="L21" s="12"/>
      <c r="M21" s="12"/>
      <c r="N21" s="22"/>
      <c r="O21" s="22"/>
      <c r="P21" s="27"/>
      <c r="Q21" s="22"/>
      <c r="R21" s="22"/>
      <c r="S21" s="22"/>
      <c r="T21" s="22"/>
      <c r="U21" s="5"/>
      <c r="V21" s="12"/>
      <c r="W21" s="12"/>
      <c r="X21" s="12"/>
      <c r="Y21" s="12"/>
      <c r="Z21" s="12"/>
      <c r="AA21" s="12"/>
      <c r="AB21" s="5"/>
      <c r="AC21" s="5"/>
      <c r="AD21" s="5"/>
      <c r="AE21" s="5"/>
      <c r="AF21" s="5"/>
      <c r="AG21" s="5"/>
      <c r="AH21" s="5"/>
      <c r="AI21" s="5"/>
    </row>
    <row r="22">
      <c r="C22" s="26"/>
      <c r="D22" s="26"/>
      <c r="I22" s="12"/>
      <c r="J22" s="12"/>
      <c r="K22" s="12"/>
      <c r="L22" s="12"/>
      <c r="M22" s="12"/>
      <c r="N22" s="22"/>
      <c r="O22" s="22"/>
      <c r="P22" s="27"/>
      <c r="Q22" s="22"/>
      <c r="R22" s="22"/>
      <c r="S22" s="22"/>
      <c r="T22" s="22"/>
      <c r="U22" s="5"/>
      <c r="V22" s="12"/>
      <c r="W22" s="12"/>
      <c r="X22" s="12"/>
      <c r="Y22" s="12"/>
      <c r="Z22" s="12"/>
      <c r="AA22" s="12"/>
      <c r="AB22" s="5"/>
      <c r="AC22" s="5"/>
      <c r="AD22" s="5"/>
      <c r="AE22" s="5"/>
      <c r="AF22" s="5"/>
      <c r="AG22" s="5"/>
      <c r="AH22" s="5"/>
      <c r="AI22" s="5"/>
    </row>
    <row r="23">
      <c r="D23" s="26"/>
      <c r="I23" s="12"/>
      <c r="J23" s="12"/>
      <c r="K23" s="12"/>
      <c r="L23" s="12"/>
      <c r="M23" s="12"/>
      <c r="N23" s="5"/>
      <c r="O23" s="5"/>
      <c r="P23" s="5"/>
      <c r="Q23" s="5"/>
      <c r="R23" s="5"/>
      <c r="S23" s="5"/>
      <c r="T23" s="5"/>
      <c r="U23" s="5"/>
      <c r="V23" s="12"/>
      <c r="W23" s="12"/>
      <c r="X23" s="12"/>
      <c r="Y23" s="12"/>
      <c r="Z23" s="12"/>
      <c r="AA23" s="12"/>
      <c r="AB23" s="5"/>
      <c r="AC23" s="5"/>
      <c r="AD23" s="5"/>
      <c r="AE23" s="5"/>
      <c r="AF23" s="5"/>
      <c r="AG23" s="5"/>
      <c r="AH23" s="5"/>
      <c r="AI23" s="5"/>
    </row>
    <row r="24">
      <c r="D24" s="26"/>
      <c r="I24" s="12"/>
      <c r="J24" s="12"/>
      <c r="K24" s="12"/>
      <c r="L24" s="12"/>
      <c r="M24" s="12"/>
      <c r="N24" s="5"/>
      <c r="O24" s="5"/>
      <c r="P24" s="5"/>
      <c r="Q24" s="5"/>
      <c r="R24" s="5"/>
      <c r="S24" s="5"/>
      <c r="T24" s="5"/>
      <c r="U24" s="5"/>
      <c r="V24" s="12"/>
      <c r="W24" s="12"/>
      <c r="X24" s="12"/>
      <c r="Y24" s="12"/>
      <c r="Z24" s="12"/>
      <c r="AA24" s="12"/>
      <c r="AB24" s="5"/>
      <c r="AC24" s="5"/>
      <c r="AD24" s="5"/>
      <c r="AE24" s="5"/>
      <c r="AF24" s="5"/>
      <c r="AG24" s="5"/>
      <c r="AH24" s="5"/>
      <c r="AI24" s="5"/>
    </row>
    <row r="25">
      <c r="D25" s="26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5"/>
      <c r="AC25" s="5"/>
      <c r="AD25" s="5"/>
      <c r="AE25" s="5"/>
      <c r="AF25" s="5"/>
      <c r="AG25" s="5"/>
      <c r="AH25" s="5"/>
      <c r="AI25" s="5"/>
    </row>
    <row r="26">
      <c r="D26" s="26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5"/>
      <c r="AC26" s="5"/>
      <c r="AD26" s="5"/>
      <c r="AE26" s="5"/>
      <c r="AF26" s="5"/>
      <c r="AG26" s="5"/>
      <c r="AH26" s="5"/>
      <c r="AI26" s="5"/>
    </row>
    <row r="27"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5"/>
      <c r="AC27" s="5"/>
      <c r="AD27" s="5"/>
      <c r="AE27" s="5"/>
      <c r="AF27" s="5"/>
      <c r="AG27" s="5"/>
      <c r="AH27" s="5"/>
      <c r="AI27" s="5"/>
    </row>
    <row r="28"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5"/>
      <c r="AC28" s="5"/>
      <c r="AD28" s="5"/>
      <c r="AE28" s="5"/>
      <c r="AF28" s="5"/>
      <c r="AG28" s="5"/>
      <c r="AH28" s="5"/>
      <c r="AI28" s="5"/>
    </row>
    <row r="29"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5"/>
      <c r="AC29" s="5"/>
      <c r="AD29" s="5"/>
      <c r="AE29" s="5"/>
      <c r="AF29" s="5"/>
      <c r="AG29" s="5"/>
      <c r="AH29" s="5"/>
      <c r="AI29" s="5"/>
    </row>
    <row r="30"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5"/>
      <c r="AC30" s="5"/>
      <c r="AD30" s="5"/>
      <c r="AE30" s="5"/>
      <c r="AF30" s="5"/>
      <c r="AG30" s="5"/>
      <c r="AH30" s="5"/>
      <c r="AI30" s="5"/>
    </row>
    <row r="31"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5"/>
      <c r="AC31" s="5"/>
      <c r="AD31" s="5"/>
      <c r="AE31" s="5"/>
      <c r="AF31" s="5"/>
      <c r="AG31" s="5"/>
      <c r="AH31" s="5"/>
      <c r="AI31" s="5"/>
    </row>
    <row r="32"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5"/>
      <c r="AC32" s="5"/>
      <c r="AD32" s="5"/>
      <c r="AE32" s="5"/>
      <c r="AF32" s="5"/>
      <c r="AG32" s="5"/>
      <c r="AH32" s="5"/>
      <c r="AI32" s="5"/>
    </row>
    <row r="33"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</row>
    <row r="34"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</row>
    <row r="35"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</row>
    <row r="36"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</row>
    <row r="37"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</row>
    <row r="38"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</row>
    <row r="39"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</row>
    <row r="40"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</row>
    <row r="41"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</row>
    <row r="42"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</row>
    <row r="43">
      <c r="A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</row>
    <row r="44">
      <c r="A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</row>
    <row r="45">
      <c r="A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</row>
    <row r="46">
      <c r="A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</row>
    <row r="47">
      <c r="A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</row>
    <row r="48">
      <c r="A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</row>
    <row r="49">
      <c r="A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</row>
    <row r="50">
      <c r="A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</row>
    <row r="51">
      <c r="A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</row>
  </sheetData>
  <mergeCells count="12">
    <mergeCell ref="N1:P1"/>
    <mergeCell ref="Q1:S1"/>
    <mergeCell ref="T1:V1"/>
    <mergeCell ref="W1:W2"/>
    <mergeCell ref="X1:X2"/>
    <mergeCell ref="A1:A2"/>
    <mergeCell ref="B1:B2"/>
    <mergeCell ref="C1:C2"/>
    <mergeCell ref="D1:D2"/>
    <mergeCell ref="E1:G1"/>
    <mergeCell ref="H1:J1"/>
    <mergeCell ref="K1:M1"/>
  </mergeCells>
  <conditionalFormatting sqref="F3:F15 I3:I15 L3:L15 O3:O14 R3:R14 U3:U14">
    <cfRule type="colorScale" priority="1">
      <colorScale>
        <cfvo type="formula" val="0"/>
        <cfvo type="formula" val="25"/>
        <cfvo type="formula" val="50"/>
        <color rgb="FF00FF00"/>
        <color rgb="FFFFE599"/>
        <color rgb="FFFF0000"/>
      </colorScale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0.88"/>
    <col customWidth="1" min="4" max="15" width="10.13"/>
  </cols>
  <sheetData>
    <row r="1">
      <c r="A1" s="28" t="s">
        <v>0</v>
      </c>
      <c r="B1" s="28" t="s">
        <v>1</v>
      </c>
      <c r="C1" s="28" t="s">
        <v>2</v>
      </c>
      <c r="D1" s="28" t="s">
        <v>3</v>
      </c>
      <c r="F1" s="28" t="s">
        <v>4</v>
      </c>
      <c r="H1" s="28" t="s">
        <v>5</v>
      </c>
      <c r="J1" s="28" t="s">
        <v>6</v>
      </c>
      <c r="L1" s="28" t="s">
        <v>7</v>
      </c>
      <c r="N1" s="28" t="s">
        <v>8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>
      <c r="D2" s="28" t="s">
        <v>11</v>
      </c>
      <c r="E2" s="28" t="s">
        <v>51</v>
      </c>
      <c r="F2" s="28" t="s">
        <v>11</v>
      </c>
      <c r="G2" s="28" t="s">
        <v>51</v>
      </c>
      <c r="H2" s="28" t="s">
        <v>11</v>
      </c>
      <c r="I2" s="28" t="s">
        <v>51</v>
      </c>
      <c r="J2" s="28" t="s">
        <v>11</v>
      </c>
      <c r="K2" s="28" t="s">
        <v>51</v>
      </c>
      <c r="L2" s="28" t="s">
        <v>11</v>
      </c>
      <c r="M2" s="28" t="s">
        <v>51</v>
      </c>
      <c r="N2" s="28" t="s">
        <v>11</v>
      </c>
      <c r="O2" s="28" t="s">
        <v>51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>
      <c r="A3" s="22" t="s">
        <v>52</v>
      </c>
      <c r="B3" s="23" t="s">
        <v>15</v>
      </c>
      <c r="C3" s="23" t="s">
        <v>53</v>
      </c>
      <c r="D3" s="25">
        <v>86.52</v>
      </c>
      <c r="E3" s="24">
        <v>4.957</v>
      </c>
      <c r="F3" s="25">
        <v>84.12</v>
      </c>
      <c r="G3" s="24">
        <v>2.771</v>
      </c>
      <c r="H3" s="25">
        <v>81.86</v>
      </c>
      <c r="I3" s="24">
        <v>2.774</v>
      </c>
      <c r="J3" s="25">
        <v>85.7</v>
      </c>
      <c r="K3" s="24">
        <v>3.187</v>
      </c>
      <c r="L3" s="25">
        <v>83.25</v>
      </c>
      <c r="M3" s="24">
        <v>3.997</v>
      </c>
      <c r="N3" s="25">
        <v>82.68</v>
      </c>
      <c r="O3" s="24">
        <v>3.267</v>
      </c>
      <c r="P3" s="12"/>
      <c r="Q3" s="12"/>
      <c r="R3" s="12"/>
      <c r="S3" s="12"/>
      <c r="T3" s="12"/>
      <c r="U3" s="5"/>
      <c r="V3" s="5"/>
      <c r="W3" s="5"/>
      <c r="X3" s="5"/>
      <c r="Y3" s="5"/>
      <c r="Z3" s="5"/>
      <c r="AA3" s="5"/>
      <c r="AB3" s="5"/>
    </row>
    <row r="4">
      <c r="A4" s="22" t="s">
        <v>22</v>
      </c>
      <c r="B4" s="22" t="s">
        <v>23</v>
      </c>
      <c r="C4" s="22" t="s">
        <v>24</v>
      </c>
      <c r="D4" s="29">
        <v>88.65</v>
      </c>
      <c r="E4" s="30">
        <v>8.445</v>
      </c>
      <c r="F4" s="14">
        <v>80.25</v>
      </c>
      <c r="G4" s="30">
        <v>6.189</v>
      </c>
      <c r="H4" s="14">
        <v>44.39</v>
      </c>
      <c r="I4" s="30">
        <v>7.157</v>
      </c>
      <c r="J4" s="14">
        <v>87.83</v>
      </c>
      <c r="K4" s="30">
        <v>5.932</v>
      </c>
      <c r="L4" s="14">
        <v>45.78</v>
      </c>
      <c r="M4" s="30">
        <v>7.453</v>
      </c>
      <c r="N4" s="14">
        <v>27.81</v>
      </c>
      <c r="O4" s="30">
        <v>6.763</v>
      </c>
      <c r="P4" s="12"/>
      <c r="Q4" s="12"/>
      <c r="R4" s="12"/>
      <c r="S4" s="12"/>
      <c r="T4" s="12"/>
      <c r="U4" s="5"/>
      <c r="V4" s="5"/>
      <c r="W4" s="5"/>
      <c r="X4" s="5"/>
      <c r="Y4" s="5"/>
      <c r="Z4" s="5"/>
      <c r="AA4" s="5"/>
      <c r="AB4" s="5"/>
    </row>
    <row r="5">
      <c r="A5" s="22" t="s">
        <v>25</v>
      </c>
      <c r="B5" s="22" t="s">
        <v>26</v>
      </c>
      <c r="C5" s="22" t="s">
        <v>27</v>
      </c>
      <c r="D5" s="14">
        <v>84.9</v>
      </c>
      <c r="E5" s="30">
        <v>5.188</v>
      </c>
      <c r="F5" s="14">
        <v>76.35</v>
      </c>
      <c r="G5" s="30">
        <v>5.188</v>
      </c>
      <c r="H5" s="14">
        <v>42.89</v>
      </c>
      <c r="I5" s="30">
        <v>4.63</v>
      </c>
      <c r="J5" s="14">
        <v>85.28</v>
      </c>
      <c r="K5" s="30">
        <v>6.104</v>
      </c>
      <c r="L5" s="14">
        <v>66.48</v>
      </c>
      <c r="M5" s="30">
        <v>4.575</v>
      </c>
      <c r="N5" s="14">
        <v>58.71</v>
      </c>
      <c r="O5" s="30">
        <v>5.853</v>
      </c>
      <c r="P5" s="12"/>
      <c r="Q5" s="12"/>
      <c r="R5" s="12"/>
      <c r="S5" s="12"/>
      <c r="T5" s="12"/>
      <c r="U5" s="5"/>
      <c r="V5" s="5"/>
      <c r="W5" s="5"/>
      <c r="X5" s="5"/>
      <c r="Y5" s="5"/>
      <c r="Z5" s="5"/>
      <c r="AA5" s="5"/>
      <c r="AB5" s="5"/>
    </row>
    <row r="6">
      <c r="A6" s="22" t="s">
        <v>14</v>
      </c>
      <c r="B6" s="22" t="s">
        <v>15</v>
      </c>
      <c r="C6" s="22" t="s">
        <v>16</v>
      </c>
      <c r="D6" s="14">
        <v>85.95</v>
      </c>
      <c r="E6" s="30">
        <v>19.889</v>
      </c>
      <c r="F6" s="14">
        <v>79.65</v>
      </c>
      <c r="G6" s="30">
        <v>11.696</v>
      </c>
      <c r="H6" s="14">
        <v>48.59</v>
      </c>
      <c r="I6" s="14">
        <v>15.434</v>
      </c>
      <c r="J6" s="14">
        <v>83.69</v>
      </c>
      <c r="K6" s="14">
        <v>13.148</v>
      </c>
      <c r="L6" s="14">
        <v>58.38</v>
      </c>
      <c r="M6" s="14">
        <v>12.34</v>
      </c>
      <c r="N6" s="14">
        <v>37.41</v>
      </c>
      <c r="O6" s="14">
        <v>10.924</v>
      </c>
      <c r="P6" s="12"/>
      <c r="Q6" s="12"/>
      <c r="R6" s="12"/>
      <c r="S6" s="12"/>
      <c r="T6" s="12"/>
      <c r="U6" s="5"/>
      <c r="V6" s="5"/>
      <c r="W6" s="5"/>
      <c r="X6" s="5"/>
      <c r="Y6" s="5"/>
      <c r="Z6" s="5"/>
      <c r="AA6" s="5"/>
      <c r="AB6" s="5"/>
    </row>
    <row r="7">
      <c r="A7" s="22" t="s">
        <v>33</v>
      </c>
      <c r="B7" s="22" t="s">
        <v>20</v>
      </c>
      <c r="C7" s="5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5"/>
      <c r="V7" s="5"/>
      <c r="W7" s="5"/>
      <c r="X7" s="5"/>
      <c r="Y7" s="5"/>
      <c r="Z7" s="5"/>
      <c r="AA7" s="5"/>
      <c r="AB7" s="5"/>
    </row>
    <row r="8">
      <c r="A8" s="22" t="s">
        <v>17</v>
      </c>
      <c r="B8" s="22" t="s">
        <v>18</v>
      </c>
      <c r="C8" s="5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5"/>
      <c r="V8" s="5"/>
      <c r="W8" s="5"/>
      <c r="X8" s="5"/>
      <c r="Y8" s="5"/>
      <c r="Z8" s="5"/>
      <c r="AA8" s="5"/>
      <c r="AB8" s="5"/>
    </row>
    <row r="9">
      <c r="A9" s="22" t="s">
        <v>28</v>
      </c>
      <c r="B9" s="22" t="s">
        <v>18</v>
      </c>
      <c r="C9" s="5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5"/>
      <c r="V9" s="5"/>
      <c r="W9" s="5"/>
      <c r="X9" s="5"/>
      <c r="Y9" s="5"/>
      <c r="Z9" s="5"/>
      <c r="AA9" s="5"/>
      <c r="AB9" s="5"/>
    </row>
    <row r="10">
      <c r="A10" s="22" t="s">
        <v>19</v>
      </c>
      <c r="B10" s="22" t="s">
        <v>20</v>
      </c>
      <c r="C10" s="5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5"/>
      <c r="V10" s="5"/>
      <c r="W10" s="5"/>
      <c r="X10" s="5"/>
      <c r="Y10" s="5"/>
      <c r="Z10" s="5"/>
      <c r="AA10" s="5"/>
      <c r="AB10" s="5"/>
    </row>
    <row r="11">
      <c r="A11" s="5"/>
      <c r="B11" s="5"/>
      <c r="C11" s="5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5"/>
      <c r="V11" s="5"/>
      <c r="W11" s="5"/>
      <c r="X11" s="5"/>
      <c r="Y11" s="5"/>
      <c r="Z11" s="5"/>
      <c r="AA11" s="5"/>
      <c r="AB11" s="5"/>
    </row>
    <row r="12">
      <c r="A12" s="5"/>
      <c r="B12" s="5"/>
      <c r="C12" s="5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5"/>
      <c r="V12" s="5"/>
      <c r="W12" s="5"/>
      <c r="X12" s="5"/>
      <c r="Y12" s="5"/>
      <c r="Z12" s="5"/>
      <c r="AA12" s="5"/>
      <c r="AB12" s="5"/>
    </row>
    <row r="13">
      <c r="A13" s="5"/>
      <c r="B13" s="5"/>
      <c r="C13" s="5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5"/>
      <c r="V13" s="5"/>
      <c r="W13" s="5"/>
      <c r="X13" s="5"/>
      <c r="Y13" s="5"/>
      <c r="Z13" s="5"/>
      <c r="AA13" s="5"/>
      <c r="AB13" s="5"/>
    </row>
    <row r="14">
      <c r="A14" s="5"/>
      <c r="B14" s="5"/>
      <c r="C14" s="5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5"/>
      <c r="V14" s="5"/>
      <c r="W14" s="5"/>
      <c r="X14" s="5"/>
      <c r="Y14" s="5"/>
      <c r="Z14" s="5"/>
      <c r="AA14" s="5"/>
      <c r="AB14" s="5"/>
    </row>
    <row r="15">
      <c r="A15" s="5"/>
      <c r="B15" s="5"/>
      <c r="C15" s="5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5"/>
      <c r="V15" s="5"/>
      <c r="W15" s="5"/>
      <c r="X15" s="5"/>
      <c r="Y15" s="5"/>
      <c r="Z15" s="5"/>
      <c r="AA15" s="5"/>
      <c r="AB15" s="5"/>
    </row>
    <row r="16">
      <c r="A16" s="5"/>
      <c r="B16" s="5"/>
      <c r="C16" s="5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5"/>
      <c r="V16" s="5"/>
      <c r="W16" s="5"/>
      <c r="X16" s="5"/>
      <c r="Y16" s="5"/>
      <c r="Z16" s="5"/>
      <c r="AA16" s="5"/>
      <c r="AB16" s="5"/>
    </row>
    <row r="17">
      <c r="A17" s="5"/>
      <c r="B17" s="5"/>
      <c r="C17" s="5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5"/>
      <c r="V17" s="5"/>
      <c r="W17" s="5"/>
      <c r="X17" s="5"/>
      <c r="Y17" s="5"/>
      <c r="Z17" s="5"/>
      <c r="AA17" s="5"/>
      <c r="AB17" s="5"/>
    </row>
    <row r="18">
      <c r="A18" s="5"/>
      <c r="B18" s="5"/>
      <c r="C18" s="5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5"/>
      <c r="V18" s="5"/>
      <c r="W18" s="5"/>
      <c r="X18" s="5"/>
      <c r="Y18" s="5"/>
      <c r="Z18" s="5"/>
      <c r="AA18" s="5"/>
      <c r="AB18" s="5"/>
    </row>
    <row r="19">
      <c r="A19" s="5"/>
      <c r="B19" s="5"/>
      <c r="C19" s="5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5"/>
      <c r="V19" s="5"/>
      <c r="W19" s="5"/>
      <c r="X19" s="5"/>
      <c r="Y19" s="5"/>
      <c r="Z19" s="5"/>
      <c r="AA19" s="5"/>
      <c r="AB19" s="5"/>
    </row>
    <row r="20">
      <c r="A20" s="5"/>
      <c r="B20" s="5"/>
      <c r="C20" s="5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5"/>
      <c r="V20" s="5"/>
      <c r="W20" s="5"/>
      <c r="X20" s="5"/>
      <c r="Y20" s="5"/>
      <c r="Z20" s="5"/>
      <c r="AA20" s="5"/>
      <c r="AB20" s="5"/>
    </row>
    <row r="21">
      <c r="A21" s="5"/>
      <c r="B21" s="5"/>
      <c r="C21" s="5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5"/>
      <c r="V21" s="5"/>
      <c r="W21" s="5"/>
      <c r="X21" s="5"/>
      <c r="Y21" s="5"/>
      <c r="Z21" s="5"/>
      <c r="AA21" s="5"/>
      <c r="AB21" s="5"/>
    </row>
    <row r="22">
      <c r="A22" s="5"/>
      <c r="B22" s="5"/>
      <c r="C22" s="5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5"/>
      <c r="V22" s="5"/>
      <c r="W22" s="5"/>
      <c r="X22" s="5"/>
      <c r="Y22" s="5"/>
      <c r="Z22" s="5"/>
      <c r="AA22" s="5"/>
      <c r="AB22" s="5"/>
    </row>
    <row r="23">
      <c r="A23" s="5"/>
      <c r="B23" s="5"/>
      <c r="C23" s="5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5"/>
      <c r="V23" s="5"/>
      <c r="W23" s="5"/>
      <c r="X23" s="5"/>
      <c r="Y23" s="5"/>
      <c r="Z23" s="5"/>
      <c r="AA23" s="5"/>
      <c r="AB23" s="5"/>
    </row>
    <row r="24">
      <c r="A24" s="5"/>
      <c r="B24" s="5"/>
      <c r="C24" s="5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5"/>
      <c r="V24" s="5"/>
      <c r="W24" s="5"/>
      <c r="X24" s="5"/>
      <c r="Y24" s="5"/>
      <c r="Z24" s="5"/>
      <c r="AA24" s="5"/>
      <c r="AB24" s="5"/>
    </row>
    <row r="25">
      <c r="A25" s="5"/>
      <c r="B25" s="5"/>
      <c r="C25" s="5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5"/>
      <c r="V25" s="5"/>
      <c r="W25" s="5"/>
      <c r="X25" s="5"/>
      <c r="Y25" s="5"/>
      <c r="Z25" s="5"/>
      <c r="AA25" s="5"/>
      <c r="AB25" s="5"/>
    </row>
    <row r="26">
      <c r="A26" s="5"/>
      <c r="B26" s="5"/>
      <c r="C26" s="5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5"/>
      <c r="V26" s="5"/>
      <c r="W26" s="5"/>
      <c r="X26" s="5"/>
      <c r="Y26" s="5"/>
      <c r="Z26" s="5"/>
      <c r="AA26" s="5"/>
      <c r="AB26" s="5"/>
    </row>
    <row r="27">
      <c r="A27" s="5"/>
      <c r="B27" s="5"/>
      <c r="C27" s="5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5"/>
      <c r="V27" s="5"/>
      <c r="W27" s="5"/>
      <c r="X27" s="5"/>
      <c r="Y27" s="5"/>
      <c r="Z27" s="5"/>
      <c r="AA27" s="5"/>
      <c r="AB27" s="5"/>
    </row>
    <row r="28">
      <c r="A28" s="5"/>
      <c r="B28" s="5"/>
      <c r="C28" s="5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5"/>
      <c r="V28" s="5"/>
      <c r="W28" s="5"/>
      <c r="X28" s="5"/>
      <c r="Y28" s="5"/>
      <c r="Z28" s="5"/>
      <c r="AA28" s="5"/>
      <c r="AB28" s="5"/>
    </row>
    <row r="29">
      <c r="A29" s="5"/>
      <c r="B29" s="5"/>
      <c r="C29" s="5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5"/>
      <c r="V29" s="5"/>
      <c r="W29" s="5"/>
      <c r="X29" s="5"/>
      <c r="Y29" s="5"/>
      <c r="Z29" s="5"/>
      <c r="AA29" s="5"/>
      <c r="AB29" s="5"/>
    </row>
    <row r="30">
      <c r="A30" s="5"/>
      <c r="B30" s="5"/>
      <c r="C30" s="5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5"/>
      <c r="V30" s="5"/>
      <c r="W30" s="5"/>
      <c r="X30" s="5"/>
      <c r="Y30" s="5"/>
      <c r="Z30" s="5"/>
      <c r="AA30" s="5"/>
      <c r="AB30" s="5"/>
    </row>
    <row r="31">
      <c r="A31" s="5"/>
      <c r="B31" s="5"/>
      <c r="C31" s="5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5"/>
      <c r="V31" s="5"/>
      <c r="W31" s="5"/>
      <c r="X31" s="5"/>
      <c r="Y31" s="5"/>
      <c r="Z31" s="5"/>
      <c r="AA31" s="5"/>
      <c r="AB31" s="5"/>
    </row>
    <row r="32">
      <c r="A32" s="5"/>
      <c r="B32" s="5"/>
      <c r="C32" s="5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5"/>
      <c r="V32" s="5"/>
      <c r="W32" s="5"/>
      <c r="X32" s="5"/>
      <c r="Y32" s="5"/>
      <c r="Z32" s="5"/>
      <c r="AA32" s="5"/>
      <c r="AB32" s="5"/>
    </row>
    <row r="33">
      <c r="A33" s="5"/>
      <c r="B33" s="5"/>
      <c r="C33" s="5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5"/>
      <c r="V33" s="5"/>
      <c r="W33" s="5"/>
      <c r="X33" s="5"/>
      <c r="Y33" s="5"/>
      <c r="Z33" s="5"/>
      <c r="AA33" s="5"/>
      <c r="AB33" s="5"/>
    </row>
    <row r="34">
      <c r="A34" s="5"/>
      <c r="B34" s="5"/>
      <c r="C34" s="5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5"/>
      <c r="V34" s="5"/>
      <c r="W34" s="5"/>
      <c r="X34" s="5"/>
      <c r="Y34" s="5"/>
      <c r="Z34" s="5"/>
      <c r="AA34" s="5"/>
      <c r="AB34" s="5"/>
    </row>
    <row r="35">
      <c r="A35" s="5"/>
      <c r="B35" s="5"/>
      <c r="C35" s="5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5"/>
      <c r="V35" s="5"/>
      <c r="W35" s="5"/>
      <c r="X35" s="5"/>
      <c r="Y35" s="5"/>
      <c r="Z35" s="5"/>
      <c r="AA35" s="5"/>
      <c r="AB35" s="5"/>
    </row>
    <row r="36">
      <c r="A36" s="5"/>
      <c r="B36" s="5"/>
      <c r="C36" s="5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5"/>
      <c r="V36" s="5"/>
      <c r="W36" s="5"/>
      <c r="X36" s="5"/>
      <c r="Y36" s="5"/>
      <c r="Z36" s="5"/>
      <c r="AA36" s="5"/>
      <c r="AB36" s="5"/>
    </row>
    <row r="37">
      <c r="A37" s="5"/>
      <c r="B37" s="5"/>
      <c r="C37" s="5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5"/>
      <c r="V37" s="5"/>
      <c r="W37" s="5"/>
      <c r="X37" s="5"/>
      <c r="Y37" s="5"/>
      <c r="Z37" s="5"/>
      <c r="AA37" s="5"/>
      <c r="AB37" s="5"/>
    </row>
    <row r="38">
      <c r="A38" s="5"/>
      <c r="B38" s="5"/>
      <c r="C38" s="5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5"/>
      <c r="V38" s="5"/>
      <c r="W38" s="5"/>
      <c r="X38" s="5"/>
      <c r="Y38" s="5"/>
      <c r="Z38" s="5"/>
      <c r="AA38" s="5"/>
      <c r="AB38" s="5"/>
    </row>
    <row r="39">
      <c r="A39" s="5"/>
      <c r="B39" s="5"/>
      <c r="C39" s="5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5"/>
      <c r="V39" s="5"/>
      <c r="W39" s="5"/>
      <c r="X39" s="5"/>
      <c r="Y39" s="5"/>
      <c r="Z39" s="5"/>
      <c r="AA39" s="5"/>
      <c r="AB39" s="5"/>
    </row>
    <row r="40">
      <c r="A40" s="5"/>
      <c r="B40" s="5"/>
      <c r="C40" s="5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5"/>
      <c r="V40" s="5"/>
      <c r="W40" s="5"/>
      <c r="X40" s="5"/>
      <c r="Y40" s="5"/>
      <c r="Z40" s="5"/>
      <c r="AA40" s="5"/>
      <c r="AB40" s="5"/>
    </row>
    <row r="41">
      <c r="A41" s="5"/>
      <c r="B41" s="5"/>
      <c r="C41" s="5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5"/>
      <c r="V41" s="5"/>
      <c r="W41" s="5"/>
      <c r="X41" s="5"/>
      <c r="Y41" s="5"/>
      <c r="Z41" s="5"/>
      <c r="AA41" s="5"/>
      <c r="AB41" s="5"/>
    </row>
    <row r="42">
      <c r="A42" s="5"/>
      <c r="B42" s="5"/>
      <c r="C42" s="5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5"/>
      <c r="V42" s="5"/>
      <c r="W42" s="5"/>
      <c r="X42" s="5"/>
      <c r="Y42" s="5"/>
      <c r="Z42" s="5"/>
      <c r="AA42" s="5"/>
      <c r="AB42" s="5"/>
    </row>
    <row r="43">
      <c r="A43" s="5"/>
      <c r="B43" s="5"/>
      <c r="C43" s="5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5"/>
      <c r="V43" s="5"/>
      <c r="W43" s="5"/>
      <c r="X43" s="5"/>
      <c r="Y43" s="5"/>
      <c r="Z43" s="5"/>
      <c r="AA43" s="5"/>
      <c r="AB43" s="5"/>
    </row>
    <row r="44">
      <c r="A44" s="5"/>
      <c r="B44" s="5"/>
      <c r="C44" s="5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5"/>
      <c r="V44" s="5"/>
      <c r="W44" s="5"/>
      <c r="X44" s="5"/>
      <c r="Y44" s="5"/>
      <c r="Z44" s="5"/>
      <c r="AA44" s="5"/>
      <c r="AB44" s="5"/>
    </row>
    <row r="45">
      <c r="A45" s="5"/>
      <c r="B45" s="5"/>
      <c r="C45" s="5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5"/>
      <c r="V45" s="5"/>
      <c r="W45" s="5"/>
      <c r="X45" s="5"/>
      <c r="Y45" s="5"/>
      <c r="Z45" s="5"/>
      <c r="AA45" s="5"/>
      <c r="AB45" s="5"/>
    </row>
    <row r="46">
      <c r="A46" s="5"/>
      <c r="B46" s="5"/>
      <c r="C46" s="5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5"/>
      <c r="V46" s="5"/>
      <c r="W46" s="5"/>
      <c r="X46" s="5"/>
      <c r="Y46" s="5"/>
      <c r="Z46" s="5"/>
      <c r="AA46" s="5"/>
      <c r="AB46" s="5"/>
    </row>
    <row r="47">
      <c r="A47" s="5"/>
      <c r="B47" s="5"/>
      <c r="C47" s="5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5"/>
      <c r="V47" s="5"/>
      <c r="W47" s="5"/>
      <c r="X47" s="5"/>
      <c r="Y47" s="5"/>
      <c r="Z47" s="5"/>
      <c r="AA47" s="5"/>
      <c r="AB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</sheetData>
  <mergeCells count="9">
    <mergeCell ref="L1:M1"/>
    <mergeCell ref="N1:O1"/>
    <mergeCell ref="A1:A2"/>
    <mergeCell ref="B1:B2"/>
    <mergeCell ref="C1:C2"/>
    <mergeCell ref="D1:E1"/>
    <mergeCell ref="F1:G1"/>
    <mergeCell ref="H1:I1"/>
    <mergeCell ref="J1:K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88"/>
  </cols>
  <sheetData>
    <row r="1">
      <c r="A1" s="31" t="s">
        <v>54</v>
      </c>
      <c r="B1" s="31" t="s">
        <v>55</v>
      </c>
      <c r="C1" s="31" t="s">
        <v>1</v>
      </c>
      <c r="D1" s="31" t="s">
        <v>56</v>
      </c>
      <c r="E1" s="31" t="s">
        <v>57</v>
      </c>
      <c r="F1" s="31" t="s">
        <v>58</v>
      </c>
      <c r="G1" s="31" t="s">
        <v>59</v>
      </c>
      <c r="H1" s="31" t="s">
        <v>60</v>
      </c>
      <c r="I1" s="31" t="s">
        <v>61</v>
      </c>
      <c r="J1" s="31" t="s">
        <v>62</v>
      </c>
    </row>
    <row r="2">
      <c r="A2" s="31">
        <v>1.0</v>
      </c>
      <c r="B2" s="31" t="s">
        <v>63</v>
      </c>
      <c r="C2" s="31" t="s">
        <v>20</v>
      </c>
      <c r="D2" s="31" t="s">
        <v>64</v>
      </c>
      <c r="E2" s="31" t="s">
        <v>65</v>
      </c>
      <c r="F2" s="31" t="s">
        <v>66</v>
      </c>
      <c r="G2" s="31" t="s">
        <v>65</v>
      </c>
      <c r="H2" s="31" t="s">
        <v>67</v>
      </c>
      <c r="I2" s="32">
        <v>0.82</v>
      </c>
      <c r="J2" s="31" t="s">
        <v>68</v>
      </c>
    </row>
    <row r="3">
      <c r="A3" s="31">
        <v>2.0</v>
      </c>
      <c r="B3" s="31" t="s">
        <v>69</v>
      </c>
      <c r="C3" s="31" t="s">
        <v>15</v>
      </c>
      <c r="D3" s="31" t="s">
        <v>70</v>
      </c>
      <c r="E3" s="31" t="s">
        <v>71</v>
      </c>
      <c r="F3" s="31" t="s">
        <v>66</v>
      </c>
      <c r="G3" s="31" t="s">
        <v>71</v>
      </c>
      <c r="H3" s="31" t="s">
        <v>72</v>
      </c>
      <c r="I3" s="32">
        <v>0.84</v>
      </c>
      <c r="J3" s="31" t="s">
        <v>73</v>
      </c>
    </row>
    <row r="4">
      <c r="A4" s="31">
        <v>3.0</v>
      </c>
      <c r="B4" s="31" t="s">
        <v>74</v>
      </c>
      <c r="C4" s="31" t="s">
        <v>75</v>
      </c>
      <c r="D4" s="31" t="s">
        <v>64</v>
      </c>
      <c r="E4" s="31" t="s">
        <v>76</v>
      </c>
      <c r="F4" s="31" t="s">
        <v>77</v>
      </c>
      <c r="G4" s="31" t="s">
        <v>65</v>
      </c>
      <c r="H4" s="31" t="s">
        <v>78</v>
      </c>
      <c r="I4" s="31" t="s">
        <v>79</v>
      </c>
      <c r="J4" s="31" t="s">
        <v>80</v>
      </c>
    </row>
    <row r="5">
      <c r="A5" s="31">
        <v>4.0</v>
      </c>
      <c r="B5" s="31" t="s">
        <v>81</v>
      </c>
      <c r="C5" s="31" t="s">
        <v>26</v>
      </c>
      <c r="D5" s="31" t="s">
        <v>50</v>
      </c>
      <c r="E5" s="31" t="s">
        <v>82</v>
      </c>
      <c r="F5" s="31" t="s">
        <v>77</v>
      </c>
      <c r="G5" s="31" t="s">
        <v>82</v>
      </c>
      <c r="H5" s="31" t="s">
        <v>83</v>
      </c>
      <c r="I5" s="31" t="s">
        <v>84</v>
      </c>
      <c r="J5" s="31" t="s">
        <v>85</v>
      </c>
    </row>
    <row r="6">
      <c r="A6" s="31">
        <v>5.0</v>
      </c>
      <c r="B6" s="31" t="s">
        <v>86</v>
      </c>
      <c r="C6" s="31" t="s">
        <v>26</v>
      </c>
      <c r="D6" s="31" t="s">
        <v>87</v>
      </c>
      <c r="E6" s="31" t="s">
        <v>88</v>
      </c>
      <c r="F6" s="31" t="s">
        <v>89</v>
      </c>
      <c r="G6" s="31" t="s">
        <v>90</v>
      </c>
      <c r="H6" s="31" t="s">
        <v>91</v>
      </c>
      <c r="I6" s="31" t="s">
        <v>92</v>
      </c>
      <c r="J6" s="31" t="s">
        <v>93</v>
      </c>
    </row>
    <row r="7">
      <c r="A7" s="31">
        <v>6.0</v>
      </c>
      <c r="B7" s="31" t="s">
        <v>44</v>
      </c>
      <c r="C7" s="31" t="s">
        <v>26</v>
      </c>
      <c r="D7" s="31" t="s">
        <v>94</v>
      </c>
      <c r="E7" s="31" t="s">
        <v>95</v>
      </c>
      <c r="F7" s="31" t="s">
        <v>77</v>
      </c>
      <c r="G7" s="31" t="s">
        <v>95</v>
      </c>
      <c r="H7" s="31" t="s">
        <v>96</v>
      </c>
      <c r="I7" s="32">
        <v>0.87</v>
      </c>
      <c r="J7" s="31" t="s">
        <v>97</v>
      </c>
    </row>
    <row r="8">
      <c r="A8" s="31">
        <v>7.0</v>
      </c>
      <c r="B8" s="31" t="s">
        <v>98</v>
      </c>
      <c r="C8" s="31" t="s">
        <v>26</v>
      </c>
      <c r="D8" s="31" t="s">
        <v>99</v>
      </c>
      <c r="E8" s="31" t="s">
        <v>90</v>
      </c>
      <c r="F8" s="31" t="s">
        <v>100</v>
      </c>
      <c r="G8" s="31" t="s">
        <v>101</v>
      </c>
      <c r="H8" s="31" t="s">
        <v>102</v>
      </c>
      <c r="I8" s="32">
        <v>0.91</v>
      </c>
      <c r="J8" s="31" t="s">
        <v>103</v>
      </c>
    </row>
    <row r="9">
      <c r="A9" s="31">
        <v>8.0</v>
      </c>
      <c r="B9" s="31" t="s">
        <v>104</v>
      </c>
      <c r="C9" s="31" t="s">
        <v>105</v>
      </c>
      <c r="D9" s="31" t="s">
        <v>70</v>
      </c>
      <c r="E9" s="31" t="s">
        <v>71</v>
      </c>
      <c r="F9" s="31" t="s">
        <v>66</v>
      </c>
      <c r="G9" s="31" t="s">
        <v>88</v>
      </c>
      <c r="H9" s="31" t="s">
        <v>106</v>
      </c>
      <c r="I9" s="32">
        <v>0.89</v>
      </c>
      <c r="J9" s="31" t="s">
        <v>107</v>
      </c>
    </row>
    <row r="10">
      <c r="A10" s="31">
        <v>9.0</v>
      </c>
      <c r="B10" s="31" t="s">
        <v>108</v>
      </c>
      <c r="C10" s="31" t="s">
        <v>109</v>
      </c>
      <c r="D10" s="31" t="s">
        <v>65</v>
      </c>
      <c r="E10" s="31" t="s">
        <v>101</v>
      </c>
      <c r="F10" s="31" t="s">
        <v>89</v>
      </c>
      <c r="G10" s="31" t="s">
        <v>110</v>
      </c>
      <c r="H10" s="31" t="s">
        <v>111</v>
      </c>
      <c r="I10" s="31" t="s">
        <v>112</v>
      </c>
      <c r="J10" s="31" t="s">
        <v>113</v>
      </c>
    </row>
    <row r="11">
      <c r="A11" s="31">
        <v>10.0</v>
      </c>
      <c r="B11" s="31" t="s">
        <v>114</v>
      </c>
      <c r="C11" s="31" t="s">
        <v>20</v>
      </c>
      <c r="D11" s="31" t="s">
        <v>115</v>
      </c>
      <c r="E11" s="31" t="s">
        <v>88</v>
      </c>
      <c r="F11" s="31" t="s">
        <v>66</v>
      </c>
      <c r="G11" s="31" t="s">
        <v>90</v>
      </c>
      <c r="H11" s="31" t="s">
        <v>102</v>
      </c>
      <c r="I11" s="32">
        <v>0.88</v>
      </c>
      <c r="J11" s="31" t="s">
        <v>116</v>
      </c>
    </row>
    <row r="14">
      <c r="D14" s="33" t="s">
        <v>117</v>
      </c>
      <c r="E14" s="33" t="s">
        <v>55</v>
      </c>
      <c r="F14" s="33" t="s">
        <v>118</v>
      </c>
      <c r="G14" s="33" t="s">
        <v>119</v>
      </c>
      <c r="H14" s="33" t="s">
        <v>120</v>
      </c>
      <c r="I14" s="33" t="s">
        <v>121</v>
      </c>
      <c r="J14" s="33" t="s">
        <v>122</v>
      </c>
      <c r="K14" s="33" t="s">
        <v>58</v>
      </c>
      <c r="L14" s="33" t="s">
        <v>123</v>
      </c>
      <c r="M14" s="33" t="s">
        <v>62</v>
      </c>
    </row>
    <row r="15">
      <c r="D15" s="31" t="s">
        <v>124</v>
      </c>
      <c r="E15" s="31" t="s">
        <v>98</v>
      </c>
      <c r="F15" s="31" t="s">
        <v>125</v>
      </c>
      <c r="G15" s="31" t="s">
        <v>126</v>
      </c>
      <c r="H15" s="31" t="s">
        <v>127</v>
      </c>
      <c r="I15" s="31" t="s">
        <v>128</v>
      </c>
      <c r="J15" s="31" t="s">
        <v>129</v>
      </c>
      <c r="K15" s="31" t="s">
        <v>130</v>
      </c>
      <c r="L15" s="31" t="s">
        <v>131</v>
      </c>
      <c r="M15" s="31" t="s">
        <v>132</v>
      </c>
    </row>
    <row r="16">
      <c r="D16" s="31" t="s">
        <v>133</v>
      </c>
      <c r="E16" s="31" t="s">
        <v>74</v>
      </c>
      <c r="F16" s="31" t="s">
        <v>134</v>
      </c>
      <c r="G16" s="31" t="s">
        <v>135</v>
      </c>
      <c r="H16" s="31" t="s">
        <v>136</v>
      </c>
      <c r="I16" s="31" t="s">
        <v>137</v>
      </c>
      <c r="J16" s="31" t="s">
        <v>110</v>
      </c>
      <c r="K16" s="31" t="s">
        <v>130</v>
      </c>
      <c r="L16" s="31" t="s">
        <v>138</v>
      </c>
      <c r="M16" s="31" t="s">
        <v>139</v>
      </c>
    </row>
    <row r="17">
      <c r="D17" s="31" t="s">
        <v>140</v>
      </c>
      <c r="E17" s="31" t="s">
        <v>141</v>
      </c>
      <c r="F17" s="31" t="s">
        <v>142</v>
      </c>
      <c r="G17" s="31" t="s">
        <v>143</v>
      </c>
      <c r="H17" s="31" t="s">
        <v>136</v>
      </c>
      <c r="I17" s="31" t="s">
        <v>137</v>
      </c>
      <c r="J17" s="31" t="s">
        <v>110</v>
      </c>
      <c r="K17" s="31" t="s">
        <v>130</v>
      </c>
      <c r="L17" s="31" t="s">
        <v>131</v>
      </c>
      <c r="M17" s="31" t="s">
        <v>144</v>
      </c>
    </row>
    <row r="18">
      <c r="D18" s="31" t="s">
        <v>145</v>
      </c>
      <c r="E18" s="31" t="s">
        <v>44</v>
      </c>
      <c r="F18" s="31" t="s">
        <v>146</v>
      </c>
      <c r="G18" s="31" t="s">
        <v>147</v>
      </c>
      <c r="H18" s="31" t="s">
        <v>148</v>
      </c>
      <c r="I18" s="31" t="s">
        <v>88</v>
      </c>
      <c r="J18" s="31" t="s">
        <v>65</v>
      </c>
      <c r="K18" s="31" t="s">
        <v>149</v>
      </c>
      <c r="L18" s="31" t="s">
        <v>150</v>
      </c>
      <c r="M18" s="31" t="s">
        <v>151</v>
      </c>
    </row>
    <row r="19">
      <c r="D19" s="31" t="s">
        <v>152</v>
      </c>
      <c r="E19" s="31" t="s">
        <v>81</v>
      </c>
      <c r="F19" s="31" t="s">
        <v>153</v>
      </c>
      <c r="G19" s="31" t="s">
        <v>154</v>
      </c>
      <c r="H19" s="31" t="s">
        <v>155</v>
      </c>
      <c r="I19" s="31" t="s">
        <v>65</v>
      </c>
      <c r="J19" s="31" t="s">
        <v>156</v>
      </c>
      <c r="K19" s="31" t="s">
        <v>149</v>
      </c>
      <c r="L19" s="31" t="s">
        <v>157</v>
      </c>
      <c r="M19" s="31" t="s">
        <v>158</v>
      </c>
    </row>
    <row r="20">
      <c r="D20" s="31" t="s">
        <v>159</v>
      </c>
      <c r="E20" s="31" t="s">
        <v>86</v>
      </c>
      <c r="F20" s="31" t="s">
        <v>160</v>
      </c>
      <c r="G20" s="31" t="s">
        <v>154</v>
      </c>
      <c r="H20" s="31" t="s">
        <v>136</v>
      </c>
      <c r="I20" s="31" t="s">
        <v>110</v>
      </c>
      <c r="J20" s="31" t="s">
        <v>161</v>
      </c>
      <c r="K20" s="31" t="s">
        <v>130</v>
      </c>
      <c r="L20" s="31" t="s">
        <v>162</v>
      </c>
      <c r="M20" s="31" t="s">
        <v>163</v>
      </c>
    </row>
    <row r="21">
      <c r="D21" s="31" t="s">
        <v>164</v>
      </c>
      <c r="E21" s="31" t="s">
        <v>104</v>
      </c>
      <c r="F21" s="31" t="s">
        <v>165</v>
      </c>
      <c r="G21" s="31" t="s">
        <v>154</v>
      </c>
      <c r="H21" s="31" t="s">
        <v>148</v>
      </c>
      <c r="I21" s="31" t="s">
        <v>110</v>
      </c>
      <c r="J21" s="31" t="s">
        <v>101</v>
      </c>
      <c r="K21" s="31" t="s">
        <v>130</v>
      </c>
      <c r="L21" s="31" t="s">
        <v>138</v>
      </c>
      <c r="M21" s="31" t="s">
        <v>166</v>
      </c>
    </row>
    <row r="22">
      <c r="D22" s="31" t="s">
        <v>167</v>
      </c>
      <c r="E22" s="31" t="s">
        <v>108</v>
      </c>
      <c r="F22" s="31" t="s">
        <v>168</v>
      </c>
      <c r="G22" s="31" t="s">
        <v>154</v>
      </c>
      <c r="H22" s="31" t="s">
        <v>169</v>
      </c>
      <c r="I22" s="31" t="s">
        <v>170</v>
      </c>
      <c r="J22" s="31" t="s">
        <v>171</v>
      </c>
      <c r="K22" s="31" t="s">
        <v>172</v>
      </c>
      <c r="L22" s="31" t="s">
        <v>173</v>
      </c>
      <c r="M22" s="31" t="s">
        <v>174</v>
      </c>
    </row>
    <row r="23">
      <c r="D23" s="31" t="s">
        <v>175</v>
      </c>
      <c r="E23" s="31" t="s">
        <v>69</v>
      </c>
      <c r="F23" s="31" t="s">
        <v>176</v>
      </c>
      <c r="G23" s="31" t="s">
        <v>154</v>
      </c>
      <c r="H23" s="31" t="s">
        <v>155</v>
      </c>
      <c r="I23" s="31" t="s">
        <v>88</v>
      </c>
      <c r="J23" s="31" t="s">
        <v>88</v>
      </c>
      <c r="K23" s="31" t="s">
        <v>149</v>
      </c>
      <c r="L23" s="31" t="s">
        <v>177</v>
      </c>
      <c r="M23" s="31" t="s">
        <v>178</v>
      </c>
    </row>
    <row r="24">
      <c r="D24" s="31" t="s">
        <v>179</v>
      </c>
      <c r="E24" s="31" t="s">
        <v>63</v>
      </c>
      <c r="F24" s="31" t="s">
        <v>146</v>
      </c>
      <c r="G24" s="31" t="s">
        <v>180</v>
      </c>
      <c r="H24" s="31" t="s">
        <v>181</v>
      </c>
      <c r="I24" s="31" t="s">
        <v>71</v>
      </c>
      <c r="J24" s="31" t="s">
        <v>65</v>
      </c>
      <c r="K24" s="31" t="s">
        <v>149</v>
      </c>
      <c r="L24" s="31" t="s">
        <v>182</v>
      </c>
      <c r="M24" s="31" t="s">
        <v>183</v>
      </c>
    </row>
    <row r="31">
      <c r="B31" s="34" t="s">
        <v>55</v>
      </c>
      <c r="C31" s="34" t="s">
        <v>184</v>
      </c>
      <c r="D31" s="34" t="s">
        <v>185</v>
      </c>
      <c r="E31" s="34" t="s">
        <v>13</v>
      </c>
      <c r="F31" s="34" t="s">
        <v>186</v>
      </c>
    </row>
    <row r="32">
      <c r="B32" s="35" t="s">
        <v>38</v>
      </c>
      <c r="C32" s="36">
        <v>52.2</v>
      </c>
      <c r="D32" s="34">
        <v>3.85</v>
      </c>
      <c r="E32" s="34">
        <v>0.03</v>
      </c>
      <c r="F32" s="34" t="s">
        <v>187</v>
      </c>
    </row>
    <row r="33">
      <c r="B33" s="35" t="s">
        <v>40</v>
      </c>
      <c r="C33" s="36">
        <v>47.9</v>
      </c>
      <c r="D33" s="34">
        <v>4.94</v>
      </c>
      <c r="E33" s="34">
        <v>0.01</v>
      </c>
      <c r="F33" s="34" t="s">
        <v>188</v>
      </c>
    </row>
    <row r="34">
      <c r="B34" s="35" t="s">
        <v>43</v>
      </c>
      <c r="C34" s="36">
        <v>44.04</v>
      </c>
      <c r="D34" s="34">
        <v>6.98</v>
      </c>
      <c r="E34" s="34">
        <v>0.01</v>
      </c>
      <c r="F34" s="34" t="s">
        <v>189</v>
      </c>
    </row>
    <row r="35">
      <c r="B35" s="35" t="s">
        <v>44</v>
      </c>
      <c r="C35" s="36">
        <v>82.03</v>
      </c>
      <c r="D35" s="34">
        <v>5.94</v>
      </c>
      <c r="E35" s="34">
        <v>0.01</v>
      </c>
      <c r="F35" s="37" t="s">
        <v>190</v>
      </c>
    </row>
    <row r="36">
      <c r="B36" s="35" t="s">
        <v>47</v>
      </c>
      <c r="C36" s="36">
        <v>80.36</v>
      </c>
      <c r="D36" s="34">
        <v>5.04</v>
      </c>
      <c r="E36" s="34">
        <v>0.01</v>
      </c>
      <c r="F36" s="34" t="s">
        <v>191</v>
      </c>
    </row>
    <row r="37">
      <c r="B37" s="35" t="s">
        <v>49</v>
      </c>
      <c r="C37" s="36">
        <v>51.27</v>
      </c>
      <c r="D37" s="34">
        <v>4.06</v>
      </c>
      <c r="E37" s="34">
        <v>0.001</v>
      </c>
      <c r="F37" s="34" t="s">
        <v>192</v>
      </c>
    </row>
    <row r="40">
      <c r="B40" s="31" t="s">
        <v>55</v>
      </c>
      <c r="C40" s="31" t="s">
        <v>193</v>
      </c>
      <c r="D40" s="31" t="s">
        <v>184</v>
      </c>
      <c r="E40" s="31" t="s">
        <v>194</v>
      </c>
      <c r="F40" s="31" t="s">
        <v>37</v>
      </c>
      <c r="G40" s="31" t="s">
        <v>195</v>
      </c>
      <c r="H40" s="31" t="s">
        <v>186</v>
      </c>
    </row>
    <row r="41">
      <c r="B41" s="31" t="s">
        <v>38</v>
      </c>
      <c r="C41" s="31" t="s">
        <v>196</v>
      </c>
      <c r="D41" s="31">
        <v>0.9361</v>
      </c>
      <c r="E41" s="31">
        <v>1695.49</v>
      </c>
      <c r="F41" s="31">
        <v>9.79</v>
      </c>
      <c r="G41" s="31" t="s">
        <v>197</v>
      </c>
      <c r="H41" s="31">
        <v>686.86</v>
      </c>
    </row>
    <row r="42">
      <c r="B42" s="31" t="s">
        <v>38</v>
      </c>
      <c r="C42" s="31" t="s">
        <v>198</v>
      </c>
      <c r="D42" s="31">
        <v>0.8757</v>
      </c>
      <c r="E42" s="31">
        <v>1695.49</v>
      </c>
      <c r="F42" s="31">
        <v>7.93</v>
      </c>
      <c r="G42" s="31" t="s">
        <v>197</v>
      </c>
      <c r="H42" s="31">
        <v>686.86</v>
      </c>
    </row>
    <row r="43">
      <c r="B43" s="31" t="s">
        <v>38</v>
      </c>
      <c r="C43" s="31" t="s">
        <v>199</v>
      </c>
      <c r="D43" s="31">
        <v>0.7766</v>
      </c>
      <c r="E43" s="31">
        <v>1695.49</v>
      </c>
      <c r="F43" s="31">
        <v>10.05</v>
      </c>
      <c r="G43" s="31" t="s">
        <v>197</v>
      </c>
      <c r="H43" s="31">
        <v>686.86</v>
      </c>
    </row>
    <row r="44">
      <c r="B44" s="31" t="s">
        <v>38</v>
      </c>
      <c r="C44" s="31" t="s">
        <v>200</v>
      </c>
      <c r="D44" s="31">
        <v>0.9119</v>
      </c>
      <c r="E44" s="31">
        <v>1695.49</v>
      </c>
      <c r="F44" s="31">
        <v>8.49</v>
      </c>
      <c r="G44" s="31" t="s">
        <v>197</v>
      </c>
      <c r="H44" s="31">
        <v>686.86</v>
      </c>
    </row>
    <row r="45">
      <c r="B45" s="31" t="s">
        <v>38</v>
      </c>
      <c r="C45" s="31" t="s">
        <v>201</v>
      </c>
      <c r="D45" s="31">
        <v>0.8746</v>
      </c>
      <c r="E45" s="31">
        <v>1695.49</v>
      </c>
      <c r="F45" s="31">
        <v>8.32</v>
      </c>
      <c r="G45" s="31" t="s">
        <v>197</v>
      </c>
      <c r="H45" s="31">
        <v>686.86</v>
      </c>
    </row>
    <row r="46">
      <c r="B46" s="31" t="s">
        <v>38</v>
      </c>
      <c r="C46" s="31" t="s">
        <v>202</v>
      </c>
      <c r="D46" s="31">
        <v>0.8358</v>
      </c>
      <c r="E46" s="31">
        <v>1695.49</v>
      </c>
      <c r="F46" s="31">
        <v>7.5</v>
      </c>
      <c r="G46" s="31" t="s">
        <v>197</v>
      </c>
      <c r="H46" s="31">
        <v>686.86</v>
      </c>
    </row>
    <row r="47">
      <c r="B47" s="31" t="s">
        <v>40</v>
      </c>
      <c r="C47" s="31" t="s">
        <v>196</v>
      </c>
      <c r="D47" s="31">
        <v>0.9225</v>
      </c>
      <c r="E47" s="31">
        <v>715.02</v>
      </c>
      <c r="F47" s="31">
        <v>22.75</v>
      </c>
      <c r="G47" s="31" t="s">
        <v>197</v>
      </c>
      <c r="H47" s="31">
        <v>1106.21</v>
      </c>
    </row>
    <row r="48">
      <c r="B48" s="31" t="s">
        <v>40</v>
      </c>
      <c r="C48" s="31" t="s">
        <v>198</v>
      </c>
      <c r="D48" s="31">
        <v>0.8805</v>
      </c>
      <c r="E48" s="31">
        <v>715.02</v>
      </c>
      <c r="F48" s="31">
        <v>9.44</v>
      </c>
      <c r="G48" s="31" t="s">
        <v>197</v>
      </c>
      <c r="H48" s="31">
        <v>1106.21</v>
      </c>
    </row>
    <row r="49">
      <c r="B49" s="31" t="s">
        <v>40</v>
      </c>
      <c r="C49" s="31" t="s">
        <v>199</v>
      </c>
      <c r="D49" s="31">
        <v>0.7251</v>
      </c>
      <c r="E49" s="31">
        <v>715.02</v>
      </c>
      <c r="F49" s="31">
        <v>7.79</v>
      </c>
      <c r="G49" s="31" t="s">
        <v>197</v>
      </c>
      <c r="H49" s="31">
        <v>1106.21</v>
      </c>
    </row>
    <row r="50">
      <c r="B50" s="31" t="s">
        <v>40</v>
      </c>
      <c r="C50" s="31" t="s">
        <v>200</v>
      </c>
      <c r="D50" s="31">
        <v>0.9282</v>
      </c>
      <c r="E50" s="31">
        <v>715.02</v>
      </c>
      <c r="F50" s="31">
        <v>12.8</v>
      </c>
      <c r="G50" s="31" t="s">
        <v>197</v>
      </c>
      <c r="H50" s="31">
        <v>1106.21</v>
      </c>
    </row>
    <row r="51">
      <c r="B51" s="31" t="s">
        <v>40</v>
      </c>
      <c r="C51" s="31" t="s">
        <v>201</v>
      </c>
      <c r="D51" s="31">
        <v>0.8499</v>
      </c>
      <c r="E51" s="31">
        <v>715.02</v>
      </c>
      <c r="F51" s="31">
        <v>11.07</v>
      </c>
      <c r="G51" s="31" t="s">
        <v>197</v>
      </c>
      <c r="H51" s="31">
        <v>1106.21</v>
      </c>
    </row>
    <row r="52">
      <c r="B52" s="31" t="s">
        <v>40</v>
      </c>
      <c r="C52" s="31" t="s">
        <v>202</v>
      </c>
      <c r="D52" s="31">
        <v>0.6984</v>
      </c>
      <c r="E52" s="31">
        <v>715.02</v>
      </c>
      <c r="F52" s="31">
        <v>21.9</v>
      </c>
      <c r="G52" s="31" t="s">
        <v>197</v>
      </c>
      <c r="H52" s="31">
        <v>1106.21</v>
      </c>
    </row>
    <row r="53">
      <c r="B53" s="31" t="s">
        <v>43</v>
      </c>
      <c r="C53" s="31" t="s">
        <v>196</v>
      </c>
      <c r="D53" s="31">
        <v>0.8516</v>
      </c>
      <c r="E53" s="31">
        <v>3592.64</v>
      </c>
      <c r="F53" s="31">
        <v>9.74</v>
      </c>
      <c r="G53" s="31" t="s">
        <v>197</v>
      </c>
      <c r="H53" s="31">
        <v>2905.19</v>
      </c>
    </row>
    <row r="54">
      <c r="B54" s="31" t="s">
        <v>43</v>
      </c>
      <c r="C54" s="31" t="s">
        <v>198</v>
      </c>
      <c r="D54" s="31">
        <v>0.7454</v>
      </c>
      <c r="E54" s="31">
        <v>3592.64</v>
      </c>
      <c r="F54" s="31">
        <v>6.08</v>
      </c>
      <c r="G54" s="31" t="s">
        <v>197</v>
      </c>
      <c r="H54" s="31">
        <v>2905.19</v>
      </c>
    </row>
    <row r="55">
      <c r="B55" s="31" t="s">
        <v>43</v>
      </c>
      <c r="C55" s="31" t="s">
        <v>199</v>
      </c>
      <c r="D55" s="31">
        <v>0.5787</v>
      </c>
      <c r="E55" s="31">
        <v>3592.64</v>
      </c>
      <c r="F55" s="31">
        <v>6.5</v>
      </c>
      <c r="G55" s="31" t="s">
        <v>197</v>
      </c>
      <c r="H55" s="31">
        <v>2905.19</v>
      </c>
    </row>
    <row r="56">
      <c r="B56" s="31" t="s">
        <v>43</v>
      </c>
      <c r="C56" s="31" t="s">
        <v>200</v>
      </c>
      <c r="D56" s="31">
        <v>0.8555</v>
      </c>
      <c r="E56" s="31">
        <v>3592.64</v>
      </c>
      <c r="F56" s="31">
        <v>7.28</v>
      </c>
      <c r="G56" s="31" t="s">
        <v>197</v>
      </c>
      <c r="H56" s="31">
        <v>2905.19</v>
      </c>
    </row>
    <row r="57">
      <c r="B57" s="31" t="s">
        <v>43</v>
      </c>
      <c r="C57" s="31" t="s">
        <v>201</v>
      </c>
      <c r="D57" s="31">
        <v>0.7043</v>
      </c>
      <c r="E57" s="31">
        <v>3592.64</v>
      </c>
      <c r="F57" s="31">
        <v>7.45</v>
      </c>
      <c r="G57" s="31" t="s">
        <v>197</v>
      </c>
      <c r="H57" s="31">
        <v>2905.19</v>
      </c>
    </row>
    <row r="58">
      <c r="B58" s="31" t="s">
        <v>43</v>
      </c>
      <c r="C58" s="31" t="s">
        <v>202</v>
      </c>
      <c r="D58" s="31">
        <v>0.5671</v>
      </c>
      <c r="E58" s="31">
        <v>3592.64</v>
      </c>
      <c r="F58" s="31">
        <v>6.81</v>
      </c>
      <c r="G58" s="31" t="s">
        <v>197</v>
      </c>
      <c r="H58" s="31">
        <v>2905.19</v>
      </c>
    </row>
    <row r="59">
      <c r="B59" s="31" t="s">
        <v>44</v>
      </c>
      <c r="C59" s="31" t="s">
        <v>196</v>
      </c>
      <c r="D59" s="31">
        <v>0.9497</v>
      </c>
      <c r="E59" s="31">
        <v>1630.42</v>
      </c>
      <c r="F59" s="31">
        <v>15.57</v>
      </c>
      <c r="G59" s="31" t="s">
        <v>197</v>
      </c>
      <c r="H59" s="31">
        <v>1555.03</v>
      </c>
    </row>
    <row r="60">
      <c r="B60" s="31" t="s">
        <v>44</v>
      </c>
      <c r="C60" s="31" t="s">
        <v>198</v>
      </c>
      <c r="D60" s="31">
        <v>0.936</v>
      </c>
      <c r="E60" s="31">
        <v>1630.42</v>
      </c>
      <c r="F60" s="31">
        <v>12.05</v>
      </c>
      <c r="G60" s="31" t="s">
        <v>197</v>
      </c>
      <c r="H60" s="31">
        <v>1555.03</v>
      </c>
    </row>
    <row r="61">
      <c r="B61" s="31" t="s">
        <v>44</v>
      </c>
      <c r="C61" s="31" t="s">
        <v>199</v>
      </c>
      <c r="D61" s="31">
        <v>0.8907</v>
      </c>
      <c r="E61" s="31">
        <v>1630.42</v>
      </c>
      <c r="F61" s="31">
        <v>6.76</v>
      </c>
      <c r="G61" s="31" t="s">
        <v>197</v>
      </c>
      <c r="H61" s="31">
        <v>1555.03</v>
      </c>
    </row>
    <row r="62">
      <c r="B62" s="31" t="s">
        <v>44</v>
      </c>
      <c r="C62" s="31" t="s">
        <v>200</v>
      </c>
      <c r="D62" s="31">
        <v>0.9618</v>
      </c>
      <c r="E62" s="31">
        <v>1630.42</v>
      </c>
      <c r="F62" s="31">
        <v>5.07</v>
      </c>
      <c r="G62" s="31" t="s">
        <v>197</v>
      </c>
      <c r="H62" s="31">
        <v>1555.03</v>
      </c>
    </row>
    <row r="63">
      <c r="B63" s="31" t="s">
        <v>44</v>
      </c>
      <c r="C63" s="31" t="s">
        <v>201</v>
      </c>
      <c r="D63" s="31">
        <v>0.9346</v>
      </c>
      <c r="E63" s="31">
        <v>1630.42</v>
      </c>
      <c r="F63" s="31">
        <v>4.81</v>
      </c>
      <c r="G63" s="31" t="s">
        <v>197</v>
      </c>
      <c r="H63" s="31">
        <v>1555.03</v>
      </c>
    </row>
    <row r="64">
      <c r="B64" s="31" t="s">
        <v>44</v>
      </c>
      <c r="C64" s="31" t="s">
        <v>202</v>
      </c>
      <c r="D64" s="31">
        <v>0.8954</v>
      </c>
      <c r="E64" s="31">
        <v>1630.42</v>
      </c>
      <c r="F64" s="31">
        <v>6.02</v>
      </c>
      <c r="G64" s="31" t="s">
        <v>197</v>
      </c>
      <c r="H64" s="31">
        <v>1555.03</v>
      </c>
    </row>
    <row r="65">
      <c r="B65" s="31" t="s">
        <v>47</v>
      </c>
      <c r="C65" s="31" t="s">
        <v>196</v>
      </c>
      <c r="D65" s="31">
        <v>0.958</v>
      </c>
      <c r="E65" s="31">
        <v>2348.94</v>
      </c>
      <c r="F65" s="31">
        <v>13.27</v>
      </c>
      <c r="G65" s="31" t="s">
        <v>197</v>
      </c>
      <c r="H65" s="31">
        <v>2616.18</v>
      </c>
    </row>
    <row r="66">
      <c r="B66" s="31" t="s">
        <v>47</v>
      </c>
      <c r="C66" s="31" t="s">
        <v>198</v>
      </c>
      <c r="D66" s="31">
        <v>0.9305</v>
      </c>
      <c r="E66" s="31">
        <v>2348.94</v>
      </c>
      <c r="F66" s="31">
        <v>8.13</v>
      </c>
      <c r="G66" s="31" t="s">
        <v>197</v>
      </c>
      <c r="H66" s="31">
        <v>2616.18</v>
      </c>
    </row>
    <row r="67">
      <c r="B67" s="31" t="s">
        <v>47</v>
      </c>
      <c r="C67" s="31" t="s">
        <v>199</v>
      </c>
      <c r="D67" s="31">
        <v>0.8507</v>
      </c>
      <c r="E67" s="31">
        <v>2348.94</v>
      </c>
      <c r="F67" s="31">
        <v>7.19</v>
      </c>
      <c r="G67" s="31" t="s">
        <v>197</v>
      </c>
      <c r="H67" s="31">
        <v>2616.18</v>
      </c>
    </row>
    <row r="68">
      <c r="B68" s="31" t="s">
        <v>47</v>
      </c>
      <c r="C68" s="31" t="s">
        <v>200</v>
      </c>
      <c r="D68" s="31">
        <v>0.9542</v>
      </c>
      <c r="E68" s="31">
        <v>2348.94</v>
      </c>
      <c r="F68" s="31">
        <v>8.53</v>
      </c>
      <c r="G68" s="31" t="s">
        <v>197</v>
      </c>
      <c r="H68" s="31">
        <v>2616.18</v>
      </c>
    </row>
    <row r="69">
      <c r="B69" s="31" t="s">
        <v>47</v>
      </c>
      <c r="C69" s="31" t="s">
        <v>201</v>
      </c>
      <c r="D69" s="31">
        <v>0.9126</v>
      </c>
      <c r="E69" s="31">
        <v>2348.94</v>
      </c>
      <c r="F69" s="31">
        <v>6.7</v>
      </c>
      <c r="G69" s="31" t="s">
        <v>197</v>
      </c>
      <c r="H69" s="31">
        <v>2616.18</v>
      </c>
    </row>
    <row r="70">
      <c r="B70" s="31" t="s">
        <v>47</v>
      </c>
      <c r="C70" s="31" t="s">
        <v>202</v>
      </c>
      <c r="D70" s="31">
        <v>0.8788</v>
      </c>
      <c r="E70" s="31">
        <v>2348.94</v>
      </c>
      <c r="F70" s="31">
        <v>6.64</v>
      </c>
      <c r="G70" s="31" t="s">
        <v>197</v>
      </c>
      <c r="H70" s="31">
        <v>2616.18</v>
      </c>
    </row>
    <row r="71">
      <c r="B71" s="31" t="s">
        <v>49</v>
      </c>
      <c r="C71" s="31" t="s">
        <v>196</v>
      </c>
      <c r="D71" s="31">
        <v>0.8693</v>
      </c>
      <c r="E71" s="31">
        <v>186.11</v>
      </c>
      <c r="F71" s="31">
        <v>2.72</v>
      </c>
      <c r="G71" s="31" t="s">
        <v>197</v>
      </c>
      <c r="H71" s="31">
        <v>2702.83</v>
      </c>
    </row>
    <row r="72">
      <c r="B72" s="31" t="s">
        <v>49</v>
      </c>
      <c r="C72" s="31" t="s">
        <v>198</v>
      </c>
      <c r="D72" s="31">
        <v>0.8649</v>
      </c>
      <c r="E72" s="31">
        <v>186.11</v>
      </c>
      <c r="F72" s="31">
        <v>3.03</v>
      </c>
      <c r="G72" s="31" t="s">
        <v>197</v>
      </c>
      <c r="H72" s="31">
        <v>2702.83</v>
      </c>
    </row>
    <row r="73">
      <c r="B73" s="31" t="s">
        <v>49</v>
      </c>
      <c r="C73" s="31" t="s">
        <v>199</v>
      </c>
      <c r="D73" s="31">
        <v>0.6292</v>
      </c>
      <c r="E73" s="31">
        <v>186.11</v>
      </c>
      <c r="F73" s="31">
        <v>2.59</v>
      </c>
      <c r="G73" s="31" t="s">
        <v>197</v>
      </c>
      <c r="H73" s="31">
        <v>2702.83</v>
      </c>
    </row>
    <row r="74">
      <c r="B74" s="31" t="s">
        <v>49</v>
      </c>
      <c r="C74" s="31" t="s">
        <v>200</v>
      </c>
      <c r="D74" s="31">
        <v>0.8452</v>
      </c>
      <c r="E74" s="31">
        <v>186.11</v>
      </c>
      <c r="F74" s="31">
        <v>2.83</v>
      </c>
      <c r="G74" s="31" t="s">
        <v>197</v>
      </c>
      <c r="H74" s="31">
        <v>2702.83</v>
      </c>
    </row>
    <row r="75">
      <c r="B75" s="31" t="s">
        <v>49</v>
      </c>
      <c r="C75" s="31" t="s">
        <v>201</v>
      </c>
      <c r="D75" s="31">
        <v>0.8012</v>
      </c>
      <c r="E75" s="31">
        <v>186.11</v>
      </c>
      <c r="F75" s="31">
        <v>2.9</v>
      </c>
      <c r="G75" s="31" t="s">
        <v>197</v>
      </c>
      <c r="H75" s="31">
        <v>2702.83</v>
      </c>
    </row>
    <row r="76">
      <c r="B76" s="31" t="s">
        <v>49</v>
      </c>
      <c r="C76" s="31" t="s">
        <v>202</v>
      </c>
      <c r="D76" s="31">
        <v>0.6216</v>
      </c>
      <c r="E76" s="31">
        <v>186.11</v>
      </c>
      <c r="F76" s="31">
        <v>4.01</v>
      </c>
      <c r="G76" s="31" t="s">
        <v>197</v>
      </c>
      <c r="H76" s="31">
        <v>2702.83</v>
      </c>
    </row>
  </sheetData>
  <drawing r:id="rId1"/>
</worksheet>
</file>